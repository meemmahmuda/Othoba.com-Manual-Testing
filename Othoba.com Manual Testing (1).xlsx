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QA\Manual Testing Project\"/>
    </mc:Choice>
  </mc:AlternateContent>
  <xr:revisionPtr revIDLastSave="0" documentId="13_ncr:1_{1C6FC318-A5D7-473D-8041-B5B767F1E2D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Test Plan" sheetId="1" r:id="rId1"/>
    <sheet name="Mind Maps" sheetId="2" r:id="rId2"/>
    <sheet name=" Test Scenarios" sheetId="3" r:id="rId3"/>
    <sheet name="Othoba Test Case" sheetId="4" r:id="rId4"/>
    <sheet name="Bug Report" sheetId="5" r:id="rId5"/>
    <sheet name="Test Case Summery Report" sheetId="6" r:id="rId6"/>
    <sheet name="Test Metric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6" l="1"/>
  <c r="D10" i="6"/>
  <c r="L5" i="4"/>
  <c r="L4" i="4"/>
  <c r="L3" i="4"/>
  <c r="D9" i="6" s="1"/>
  <c r="L2" i="4"/>
  <c r="G1" i="4"/>
  <c r="D8" i="6" l="1"/>
  <c r="L6" i="4"/>
  <c r="D12" i="6" s="1"/>
</calcChain>
</file>

<file path=xl/sharedStrings.xml><?xml version="1.0" encoding="utf-8"?>
<sst xmlns="http://schemas.openxmlformats.org/spreadsheetml/2006/main" count="2541" uniqueCount="1675">
  <si>
    <t>Click here to view the full test plan</t>
  </si>
  <si>
    <t>ID</t>
  </si>
  <si>
    <t>Module</t>
  </si>
  <si>
    <t>Test Scenario</t>
  </si>
  <si>
    <t>TS-01</t>
  </si>
  <si>
    <t>Registration</t>
  </si>
  <si>
    <t>Verify user registration and field validation</t>
  </si>
  <si>
    <t>TS-02</t>
  </si>
  <si>
    <t>Login</t>
  </si>
  <si>
    <t>Verify login with valid/invalid credentials</t>
  </si>
  <si>
    <t>TS-03</t>
  </si>
  <si>
    <t>Navigation</t>
  </si>
  <si>
    <t>Verify header, footer, logo and menu navigation</t>
  </si>
  <si>
    <t>TS-04</t>
  </si>
  <si>
    <t>Search</t>
  </si>
  <si>
    <t>Verify product search and search results</t>
  </si>
  <si>
    <t>TS-05</t>
  </si>
  <si>
    <t>Product Listing</t>
  </si>
  <si>
    <t>Verify product listing, filter, sorting and pagination</t>
  </si>
  <si>
    <t>TS-06</t>
  </si>
  <si>
    <t>Product Details</t>
  </si>
  <si>
    <t>Verify product information, image, price, variant and stock</t>
  </si>
  <si>
    <t>TS-07</t>
  </si>
  <si>
    <t>Wishlist</t>
  </si>
  <si>
    <t>Verify add/remove product from wishlist</t>
  </si>
  <si>
    <t>TS-08</t>
  </si>
  <si>
    <t>Cart</t>
  </si>
  <si>
    <t>Verify add, update and remove products from cart</t>
  </si>
  <si>
    <t>TS-09</t>
  </si>
  <si>
    <t>Checkout</t>
  </si>
  <si>
    <t>Verify checkout with valid/invalid information</t>
  </si>
  <si>
    <t>TS-10</t>
  </si>
  <si>
    <t>Payment</t>
  </si>
  <si>
    <t>Verify payment methods and successful/failed/cancelled payment</t>
  </si>
  <si>
    <t>TS-11</t>
  </si>
  <si>
    <t>Order Placement</t>
  </si>
  <si>
    <t>Verify successful and unsuccessful order placement</t>
  </si>
  <si>
    <t>TS-12</t>
  </si>
  <si>
    <t>Order Confirmation</t>
  </si>
  <si>
    <t>Verify order ID and order summary</t>
  </si>
  <si>
    <t>TS-13</t>
  </si>
  <si>
    <t>Order History</t>
  </si>
  <si>
    <t>Verify order history and order details</t>
  </si>
  <si>
    <t>TS-14</t>
  </si>
  <si>
    <t>Order Tracking</t>
  </si>
  <si>
    <t>Verify order status and tracking information</t>
  </si>
  <si>
    <t>TS-15</t>
  </si>
  <si>
    <t>Validation &amp; Security</t>
  </si>
  <si>
    <t>Verify invalid input, special characters and basic injection</t>
  </si>
  <si>
    <t>TS-16</t>
  </si>
  <si>
    <t>Responsive</t>
  </si>
  <si>
    <t>Verify website on mobile and desktop</t>
  </si>
  <si>
    <t>TS-17</t>
  </si>
  <si>
    <t>Compatibility</t>
  </si>
  <si>
    <t>Verify supported browsers</t>
  </si>
  <si>
    <t>TS-18</t>
  </si>
  <si>
    <t>UI &amp; Usability</t>
  </si>
  <si>
    <t>Verify layout, buttons, labels, images and error messages</t>
  </si>
  <si>
    <t>Product Name</t>
  </si>
  <si>
    <t>Othoba</t>
  </si>
  <si>
    <t>TC Start Date</t>
  </si>
  <si>
    <t>TC Execution Start Date</t>
  </si>
  <si>
    <t>TEST CASE</t>
  </si>
  <si>
    <t>Module Name</t>
  </si>
  <si>
    <t>TC End Date</t>
  </si>
  <si>
    <t>TC Execution End Date</t>
  </si>
  <si>
    <t xml:space="preserve"> - -</t>
  </si>
  <si>
    <t>PASS</t>
  </si>
  <si>
    <t>Test Case Developed By</t>
  </si>
  <si>
    <t>Mahmuda Binte Sayeed</t>
  </si>
  <si>
    <t>Browser (tested)</t>
  </si>
  <si>
    <t>Yes</t>
  </si>
  <si>
    <t>FAIL</t>
  </si>
  <si>
    <t>Developer Name (TL)</t>
  </si>
  <si>
    <t>Test Case Reviewed By</t>
  </si>
  <si>
    <t>Sabiul Islam Rashed</t>
  </si>
  <si>
    <t>Performance (tested)</t>
  </si>
  <si>
    <t>No</t>
  </si>
  <si>
    <t>NO RUN</t>
  </si>
  <si>
    <t>Test Executed by</t>
  </si>
  <si>
    <t>BLOCKED</t>
  </si>
  <si>
    <t>Bug Reporting</t>
  </si>
  <si>
    <t># SL 01</t>
  </si>
  <si>
    <t>TOTAL</t>
  </si>
  <si>
    <r>
      <rPr>
        <b/>
        <sz val="12"/>
        <color theme="1"/>
        <rFont val="Calibri"/>
      </rPr>
      <t xml:space="preserve">Issue: </t>
    </r>
    <r>
      <rPr>
        <sz val="11"/>
        <color theme="1"/>
        <rFont val="Calibri"/>
      </rPr>
      <t>Field name is not correct and validation message is not correct</t>
    </r>
  </si>
  <si>
    <t>Reproducing Steps:</t>
  </si>
  <si>
    <t>1. Go to Chrome browsers.
2. Search 'Othoba' 
3. Go to the website.
4.Click Register menu
5.Test clicking by Register Button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</si>
  <si>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</si>
  <si>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SL</t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</si>
  <si>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</si>
  <si>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t>Type of Testing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</si>
  <si>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High | </t>
    </r>
    <r>
      <rPr>
        <b/>
        <sz val="11"/>
        <color rgb="FFCC0000"/>
        <rFont val="Calibri"/>
      </rPr>
      <t xml:space="preserve">Medium </t>
    </r>
    <r>
      <rPr>
        <sz val="11"/>
        <color theme="1"/>
        <rFont val="Calibri"/>
      </rPr>
      <t>| Low</t>
    </r>
  </si>
  <si>
    <t>Features</t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</si>
  <si>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Major | </t>
    </r>
    <r>
      <rPr>
        <b/>
        <sz val="11"/>
        <color rgb="FFFF0000"/>
        <rFont val="Calibri"/>
      </rPr>
      <t>Minor</t>
    </r>
  </si>
  <si>
    <t>Test Cases</t>
  </si>
  <si>
    <r>
      <rPr>
        <b/>
        <u/>
        <sz val="11"/>
        <color rgb="FF000000"/>
        <rFont val="Calibri"/>
      </rPr>
      <t xml:space="preserve">Screenshot: </t>
    </r>
    <r>
      <rPr>
        <b/>
        <u/>
        <sz val="11"/>
        <color rgb="FF1155CC"/>
        <rFont val="Calibri"/>
      </rPr>
      <t>https://drive.google.com/file/d/1LLSM-RLMELDccZfcZBp-7fy0DJJZAB7p/view?usp=drive_link</t>
    </r>
  </si>
  <si>
    <t>Reproducing Steps</t>
  </si>
  <si>
    <t>Test Data</t>
  </si>
  <si>
    <t>Expected Result</t>
  </si>
  <si>
    <t>Actual Result</t>
  </si>
  <si>
    <t>Bugs Screen Shot/Recording</t>
  </si>
  <si>
    <t>Test Case Report</t>
  </si>
  <si>
    <t>Dev Comments</t>
  </si>
  <si>
    <t>Expected: Field Name should be Phone Number, Email Addess according to this validation message should be Phone Number , First Name is required</t>
  </si>
  <si>
    <t>Final Status</t>
  </si>
  <si>
    <t>Actual Result: Field Name is Phone, Email .validation message Phone, Name is required</t>
  </si>
  <si>
    <t>Responsible QA: Mahmuda Binte Sayeed</t>
  </si>
  <si>
    <t xml:space="preserve">   Project Name   </t>
  </si>
  <si>
    <t>TC-1</t>
  </si>
  <si>
    <t>Othoba.com</t>
  </si>
  <si>
    <t>Validation Testing</t>
  </si>
  <si>
    <t># SL 02</t>
  </si>
  <si>
    <t>Register</t>
  </si>
  <si>
    <t>Verify registration page with blank fields</t>
  </si>
  <si>
    <t>Issue: System only shows phone number is not provided if wrong formate phone number provided</t>
  </si>
  <si>
    <t>No data input just keep all field blank</t>
  </si>
  <si>
    <t>Should give validation message</t>
  </si>
  <si>
    <t>Click Register button error message showing</t>
  </si>
  <si>
    <t>https://drive.google.com/file/d/1LLSM-RLMELDccZfcZBp-7fy0DJJZAB7p/view?usp=drive_link</t>
  </si>
  <si>
    <t>1. Enter invalid mobile number
2.Fill up other required field.
3. Click Register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</si>
  <si>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</si>
  <si>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</si>
  <si>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</si>
  <si>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</si>
  <si>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r>
      <rPr>
        <b/>
        <u/>
        <sz val="11"/>
        <color rgb="FF0563C1"/>
        <rFont val="Calibri"/>
      </rPr>
      <t xml:space="preserve">Screenshot: </t>
    </r>
    <r>
      <rPr>
        <b/>
        <u/>
        <sz val="11"/>
        <color rgb="FF1155CC"/>
        <rFont val="Calibri"/>
      </rPr>
      <t>https://drive.google.com/file/d/1Z9XEN6FbEyl-BDKsn0qyvnq5vpun7eOV/view?usp=drive_link</t>
    </r>
  </si>
  <si>
    <t>Written By</t>
  </si>
  <si>
    <t>Passed</t>
  </si>
  <si>
    <t>Reviewed By</t>
  </si>
  <si>
    <t>TC-2</t>
  </si>
  <si>
    <t>Check Form Fields name &amp; Validation message</t>
  </si>
  <si>
    <t>TEST EXECUTION REPORT</t>
  </si>
  <si>
    <t>1.Test clicking by Register Button</t>
  </si>
  <si>
    <t>Field Name should be Phone Number, Email Addess according to this validation message should be Phone Number , First Name is required</t>
  </si>
  <si>
    <t>Field Name is Phone, Email .validation message Phone, Name is required</t>
  </si>
  <si>
    <t>Expected: System should show message if phone number less or more than 11 digit, letter not acceptable, phone number satrts with 01</t>
  </si>
  <si>
    <t>Actual Result: System only shows phone number is not provided</t>
  </si>
  <si>
    <t>Responsible QA: Mahmuda</t>
  </si>
  <si>
    <t>Failed</t>
  </si>
  <si>
    <t>TC-3</t>
  </si>
  <si>
    <t>Verify registration with invalid phone number</t>
  </si>
  <si>
    <t># SL 03</t>
  </si>
  <si>
    <t>r6</t>
  </si>
  <si>
    <t>System should show message if phone number less or more than 11 digit, letter not acceptable, phone number satrts with 01</t>
  </si>
  <si>
    <t>System only shows phone number is not provided</t>
  </si>
  <si>
    <t>https://drive.google.com/file/d/1Z9XEN6FbEyl-BDKsn0qyvnq5vpun7eOV/view?usp=drive_link</t>
  </si>
  <si>
    <t>Issue: System accepts email without valid domain, don't give validation messag</t>
  </si>
  <si>
    <t>1. Enter invalid email address
2. Fill up other required field.
3. Click Register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</si>
  <si>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</si>
  <si>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</si>
  <si>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</si>
  <si>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t>TC-4</t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</si>
  <si>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</si>
  <si>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t>Verify Email address validation</t>
  </si>
  <si>
    <r>
      <rPr>
        <b/>
        <u/>
        <sz val="11"/>
        <color rgb="FF0563C1"/>
        <rFont val="Calibri"/>
      </rPr>
      <t xml:space="preserve">Screenshot: </t>
    </r>
    <r>
      <rPr>
        <b/>
        <u/>
        <sz val="11"/>
        <color rgb="FF1155CC"/>
        <rFont val="Calibri"/>
      </rPr>
      <t>https://drive.google.com/file/d/1peT5L0caTOnwmC3veYI73M_Ys2qka4Ou/view?usp=drive_link</t>
    </r>
  </si>
  <si>
    <t>3t@u</t>
  </si>
  <si>
    <t>System should reject email if email domain is invalid, should give validation message that it must contains @, (.)</t>
  </si>
  <si>
    <t>System accepts email without valid domain, don't give validation messag</t>
  </si>
  <si>
    <t>https://drive.google.com/file/d/1peT5L0caTOnwmC3veYI73M_Ys2qka4Ou/view?usp=drive_link</t>
  </si>
  <si>
    <t>TC-5</t>
  </si>
  <si>
    <t>Verify Gender Field</t>
  </si>
  <si>
    <t>1. Other gender can not select</t>
  </si>
  <si>
    <t>select female</t>
  </si>
  <si>
    <t>Expected: System should reject email if email domain is invalid, should give validation message that it must contains @, (.)</t>
  </si>
  <si>
    <t>There should be male, female, others</t>
  </si>
  <si>
    <t>There only male , female</t>
  </si>
  <si>
    <t>https://drive.google.com/file/d/1mh5h6HHJq8NxPhUhFN_58r8AY_13J8w1/view?usp=drive_link</t>
  </si>
  <si>
    <t>Actual Result: System accepts email without valid domain, don't give validation messag</t>
  </si>
  <si>
    <t># SL 04</t>
  </si>
  <si>
    <t>TC-6</t>
  </si>
  <si>
    <t>Verify First , Last name field</t>
  </si>
  <si>
    <t>Issue: There should be male, female, others in gender field</t>
  </si>
  <si>
    <t>1. Enter number in name fields
2. Fill up other required field.
3. Click Register</t>
  </si>
  <si>
    <t>3,4</t>
  </si>
  <si>
    <t>System should display validation that name field only contains letter</t>
  </si>
  <si>
    <t>System does not give any message and it take numbers, special character in name field</t>
  </si>
  <si>
    <t>https://drive.google.com/file/d/1Ts0Ryr3q-F_FB4sYLQys7Lkr3V7YPbKJ/view?usp=drive_link</t>
  </si>
  <si>
    <t>1. Other gender option can not select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</si>
  <si>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</si>
  <si>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</si>
  <si>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High | Medium | </t>
    </r>
    <r>
      <rPr>
        <b/>
        <sz val="11"/>
        <color rgb="FFFF0000"/>
        <rFont val="Calibri"/>
      </rPr>
      <t>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</si>
  <si>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Major | </t>
    </r>
    <r>
      <rPr>
        <b/>
        <sz val="11"/>
        <color rgb="FFFF0000"/>
        <rFont val="Calibri"/>
      </rPr>
      <t>Minor</t>
    </r>
  </si>
  <si>
    <t>TC-7</t>
  </si>
  <si>
    <t>Verify Date of Birth</t>
  </si>
  <si>
    <r>
      <rPr>
        <b/>
        <u/>
        <sz val="11"/>
        <color rgb="FF0563C1"/>
        <rFont val="Calibri"/>
      </rPr>
      <t xml:space="preserve">Screenshot: </t>
    </r>
    <r>
      <rPr>
        <b/>
        <u/>
        <sz val="11"/>
        <color rgb="FF1155CC"/>
        <rFont val="Calibri"/>
      </rPr>
      <t>https://drive.google.com/file/d/1mh5h6HHJq8NxPhUhFN_58r8AY_13J8w1/view?usp=drive_link</t>
    </r>
  </si>
  <si>
    <t>1. Do not enter any value
2. Fill up other required field.
3. Click Register</t>
  </si>
  <si>
    <t>no value select</t>
  </si>
  <si>
    <t>If date of birth mandatory it should contain * mark</t>
  </si>
  <si>
    <t>this field is mandatory but don't have * mark</t>
  </si>
  <si>
    <t>https://drive.google.com/file/d/1iGbeFUDxqkB_7Tt1qdPdpbXodDefe88a/view?usp=drive_link</t>
  </si>
  <si>
    <t>TC-8</t>
  </si>
  <si>
    <t>Verify DOB has any age limit</t>
  </si>
  <si>
    <t>1. Select unrealistic age
2. Fill up other required field.
3. Click Register</t>
  </si>
  <si>
    <t>If unrealistic age select it should throw message with minimum age limit</t>
  </si>
  <si>
    <t>Expected: There should be male, female, others option in gender field</t>
  </si>
  <si>
    <t>System give a message you have to be 13 year old</t>
  </si>
  <si>
    <t>https://drive.google.com/file/d/1gwqoZmkfU_gj0de-AJqOOQ6lirYVO75g/view?usp=drive_link</t>
  </si>
  <si>
    <t>Actual Result: There only male , female</t>
  </si>
  <si>
    <t># SL 05</t>
  </si>
  <si>
    <t>Issue: System does not give any message and it take numbers, special character in name field</t>
  </si>
  <si>
    <t>TC-9</t>
  </si>
  <si>
    <t>Password validation missing special characters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</si>
  <si>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</si>
  <si>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1. Enter password without special character and letter
2. Fill up other required field.
3. Click Register</t>
  </si>
  <si>
    <t>System should reject password because it does not contain special character such as #, @, $ and atleast one Upeercase, one lowercase letter</t>
  </si>
  <si>
    <t>System accepts password without any special character and letter</t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</si>
  <si>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</si>
  <si>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t>https://drive.google.com/file/d/1sn7qekv9GzJ-UyteC5aSDF9FapVSJauC/view?usp=drive_link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</si>
  <si>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</si>
  <si>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</si>
  <si>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r>
      <rPr>
        <b/>
        <u/>
        <sz val="11"/>
        <color rgb="FF0563C1"/>
        <rFont val="Calibri"/>
      </rPr>
      <t xml:space="preserve">Screenshot: </t>
    </r>
    <r>
      <rPr>
        <b/>
        <u/>
        <sz val="11"/>
        <color rgb="FF1155CC"/>
        <rFont val="Calibri"/>
      </rPr>
      <t>https://drive.google.com/file/d/1Ts0Ryr3q-F_FB4sYLQys7Lkr3V7YPbKJ/view?usp=drive_link</t>
    </r>
  </si>
  <si>
    <t>TC-10</t>
  </si>
  <si>
    <t>Verify password visibility toggle icon</t>
  </si>
  <si>
    <t>1. Enter password but can't see what entered
2. Fill up other required field.
3. Click Register</t>
  </si>
  <si>
    <t>Eye icon should be available in password &amp; confirm password field to show/hide entered password.</t>
  </si>
  <si>
    <t>Eye icon is not available in password field.</t>
  </si>
  <si>
    <t>Expected: System should display validation that name field only contains letter</t>
  </si>
  <si>
    <t>Actual Result: System does not give any message and it take numbers, special character in name field</t>
  </si>
  <si>
    <t># SL 06</t>
  </si>
  <si>
    <t>Issue: Date of Birth field is mandatory but don't have * mark</t>
  </si>
  <si>
    <t>TC-11</t>
  </si>
  <si>
    <t>Verify Confirm Password validation message</t>
  </si>
  <si>
    <t>1. Enter different confirm password .
2. Fill up other required field.
3. Click Register</t>
  </si>
  <si>
    <t>123456,12345</t>
  </si>
  <si>
    <t>Validation message must be similar to Field name</t>
  </si>
  <si>
    <t>Validation message showing 'the password' and confirmation password do not match when enter different password in these two field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</si>
  <si>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</si>
  <si>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</si>
  <si>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t>TC-12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</si>
  <si>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</si>
  <si>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t xml:space="preserve"> reCAPTCHA Validation</t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</si>
  <si>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</si>
  <si>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t>1. Not select reCAPTCHA 
2. Fill up other required field.
3. Click Register</t>
  </si>
  <si>
    <t>not select</t>
  </si>
  <si>
    <t>If reCAPTCHA not select it should show the message bottom of the reCAPTCHA field</t>
  </si>
  <si>
    <t>If not select reCAPTCHA the message shows at top of the form near Phone</t>
  </si>
  <si>
    <r>
      <rPr>
        <b/>
        <u/>
        <sz val="11"/>
        <color rgb="FF0563C1"/>
        <rFont val="Calibri"/>
      </rPr>
      <t xml:space="preserve">Screenshot: </t>
    </r>
    <r>
      <rPr>
        <b/>
        <u/>
        <sz val="11"/>
        <color rgb="FF1155CC"/>
        <rFont val="Calibri"/>
      </rPr>
      <t>https://drive.google.com/file/d/1iGbeFUDxqkB_7Tt1qdPdpbXodDefe88a/view?usp=drive_link</t>
    </r>
  </si>
  <si>
    <t>https://drive.google.com/file/d/1-tUGfqLWQUF924c1xFRWG6GUxoKq5bi4/view?usp=drive_link</t>
  </si>
  <si>
    <t>TC-13</t>
  </si>
  <si>
    <t>Phone Field space validation</t>
  </si>
  <si>
    <t>Expected: If date of birth mandatory it should contain * mark</t>
  </si>
  <si>
    <t>1. Give space in Phone Filed
2. Fill up other required field.
3. Click Register</t>
  </si>
  <si>
    <t>(01         )</t>
  </si>
  <si>
    <t>Actual Result: this field is mandatory but don't have * mark</t>
  </si>
  <si>
    <t>If it give space in Phone Filed it should show message that the field must be contain 11 number start with 01</t>
  </si>
  <si>
    <t>It dosn't show any validation message if it keep space. it submit registration button. after submission it shows internal error occurred message</t>
  </si>
  <si>
    <t>https://drive.google.com/file/d/1h1fyLW8wZEwkeJ-xJBAcCZZCj4ck3Vdx/view?usp=drive_link</t>
  </si>
  <si>
    <t># SL 07</t>
  </si>
  <si>
    <t>Issue: System accepts password without any special character and letter</t>
  </si>
  <si>
    <t>TC-14</t>
  </si>
  <si>
    <t>First, Last name field space validation</t>
  </si>
  <si>
    <t>1. Give space in First, Last name Filed
2. Fill up other required field.
3. Click Register</t>
  </si>
  <si>
    <t>( 4 , 5 )</t>
  </si>
  <si>
    <t>If it gives space in First, last name before and after it should show message that there is space.</t>
  </si>
  <si>
    <t>Test Data: 123456</t>
  </si>
  <si>
    <t>TC-15</t>
  </si>
  <si>
    <t>OTP Verification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</si>
  <si>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</si>
  <si>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1. Give Phone number in otp field
2. Click OTP</t>
  </si>
  <si>
    <t>01968405357</t>
  </si>
  <si>
    <t>In OTP verification page there will give the OTP got in phone number</t>
  </si>
  <si>
    <t>But in this page it showing give Phone number in OTP field and don't receive any OTP</t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</si>
  <si>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</si>
  <si>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t>https://drive.google.com/file/d/1F_uva9znJmdGb7ZP6qzjjALlyPSjOhqK/view?usp=drive_link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</si>
  <si>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</si>
  <si>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</si>
  <si>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r>
      <rPr>
        <b/>
        <u/>
        <sz val="11"/>
        <color rgb="FF0563C1"/>
        <rFont val="Calibri"/>
      </rPr>
      <t xml:space="preserve">Screenshot: </t>
    </r>
    <r>
      <rPr>
        <b/>
        <u/>
        <sz val="11"/>
        <color rgb="FF1155CC"/>
        <rFont val="Calibri"/>
      </rPr>
      <t>https://drive.google.com/file/d/1sn7qekv9GzJ-UyteC5aSDF9FapVSJauC/view?usp=drive_link</t>
    </r>
  </si>
  <si>
    <t>TC-16</t>
  </si>
  <si>
    <t>OTP Resend</t>
  </si>
  <si>
    <t>There will be a resend button after certain time if opt don't get it will resend after clicking this button</t>
  </si>
  <si>
    <t>Here is Resent After 0 no button no countdown</t>
  </si>
  <si>
    <t>https://drive.google.com/file/d/147V_9s_KLVY-PvfWUhUdqNfhsIG7epag/view?usp=drive_link</t>
  </si>
  <si>
    <t>Expected: System should reject password because it does not contain special character such as #, @, $ and atleast one Upeercase, one lowercase letter</t>
  </si>
  <si>
    <t>Actual Result: System accepts password without any special character and letter</t>
  </si>
  <si>
    <t>TC-17</t>
  </si>
  <si>
    <t># SL 08</t>
  </si>
  <si>
    <t>Try to register with same phone number</t>
  </si>
  <si>
    <t>1. Give same Phone number in Phone field
2. Fill up other required field.
3. Click Register</t>
  </si>
  <si>
    <t>One phone number can register one time</t>
  </si>
  <si>
    <t>It dosn't take same phone number that registered before</t>
  </si>
  <si>
    <t>https://drive.google.com/file/d/10eQS8x_BxDi9tkglenqduSVTOY3M-sg7/view?usp=drive_link</t>
  </si>
  <si>
    <t>Issue: Eye icon is not available in password field.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</si>
  <si>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</si>
  <si>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</si>
  <si>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t>TC-18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</si>
  <si>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High | </t>
    </r>
    <r>
      <rPr>
        <b/>
        <sz val="11"/>
        <color rgb="FFFF0000"/>
        <rFont val="Calibri"/>
      </rPr>
      <t xml:space="preserve">Medium </t>
    </r>
    <r>
      <rPr>
        <sz val="11"/>
        <color theme="1"/>
        <rFont val="Calibri"/>
      </rPr>
      <t>| Low</t>
    </r>
  </si>
  <si>
    <t>Verify Phone field with special character</t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</si>
  <si>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Major | </t>
    </r>
    <r>
      <rPr>
        <b/>
        <sz val="11"/>
        <color rgb="FFFF0000"/>
        <rFont val="Calibri"/>
      </rPr>
      <t>Minor</t>
    </r>
  </si>
  <si>
    <t>1. Give special character in Phone field
2. Fill up other required field.
3. Click Register</t>
  </si>
  <si>
    <t>#@$</t>
  </si>
  <si>
    <t>It should not take this value</t>
  </si>
  <si>
    <r>
      <rPr>
        <b/>
        <u/>
        <sz val="11"/>
        <color rgb="FF0563C1"/>
        <rFont val="Calibri"/>
      </rPr>
      <t xml:space="preserve">Screenshot: </t>
    </r>
    <r>
      <rPr>
        <b/>
        <u/>
        <sz val="11"/>
        <color rgb="FF1155CC"/>
        <rFont val="Calibri"/>
      </rPr>
      <t>https://drive.google.com/file/d/1sn7qekv9GzJ-UyteC5aSDF9FapVSJauC/view?usp=drive_link</t>
    </r>
  </si>
  <si>
    <t>It dosen't take that value</t>
  </si>
  <si>
    <t>https://drive.google.com/file/d/1I3WzgxxYuqw2mdZSAMzOvfz1G82feucc/view?usp=drive_link</t>
  </si>
  <si>
    <t>Expected: Eye icon should be available in password &amp; confirm password field to show/hide entered password.</t>
  </si>
  <si>
    <t>Actual Result: Eye icon is not available in password field.</t>
  </si>
  <si>
    <t># SL 9</t>
  </si>
  <si>
    <t>TC-19</t>
  </si>
  <si>
    <t>Register with already existing number</t>
  </si>
  <si>
    <t>1. Give previous registered phone number
2. Fill up other required field.
3. Click Register</t>
  </si>
  <si>
    <t>Issue: Validation message showing 'the password' and confirmation password do not match when enter different password in these two field</t>
  </si>
  <si>
    <t>01846783975</t>
  </si>
  <si>
    <t>It should not take the same phone number that previously registered</t>
  </si>
  <si>
    <t>It dosen't take the same registered phone number</t>
  </si>
  <si>
    <t>TC-20</t>
  </si>
  <si>
    <t>Check already register gmail take or not</t>
  </si>
  <si>
    <t>1. Give previous registered email
2. Fill up other required field.
3. Click Register</t>
  </si>
  <si>
    <t>test@gmail.com</t>
  </si>
  <si>
    <t>It should show a message that this email already registered</t>
  </si>
  <si>
    <t>But it takes the previous registered email</t>
  </si>
  <si>
    <t>TC-21</t>
  </si>
  <si>
    <t>Check Gender selection behaviour</t>
  </si>
  <si>
    <t>1. Select one option in gender
2. Fill up other required field.
3. Click Register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</si>
  <si>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</si>
  <si>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Select Female</t>
  </si>
  <si>
    <t>If try to select both male , female it can select one option at once</t>
  </si>
  <si>
    <t>When try to select both option at once it dosen't take both. Only can select one option</t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</si>
  <si>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</si>
  <si>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t>https://drive.google.com/file/d/1l6yeYJ31WLvoAaOGm9jiZMWp_fCKH6Tt/view?usp=drive_link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</si>
  <si>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High | </t>
    </r>
    <r>
      <rPr>
        <b/>
        <sz val="11"/>
        <color rgb="FFFF0000"/>
        <rFont val="Calibri"/>
      </rPr>
      <t xml:space="preserve">Medium </t>
    </r>
    <r>
      <rPr>
        <sz val="11"/>
        <color theme="1"/>
        <rFont val="Calibri"/>
      </rPr>
      <t>| 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</si>
  <si>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Major | </t>
    </r>
    <r>
      <rPr>
        <b/>
        <sz val="11"/>
        <color rgb="FFFF0000"/>
        <rFont val="Calibri"/>
      </rPr>
      <t>Minor</t>
    </r>
  </si>
  <si>
    <r>
      <rPr>
        <b/>
        <u/>
        <sz val="11"/>
        <color rgb="FF0563C1"/>
        <rFont val="Calibri"/>
      </rPr>
      <t xml:space="preserve">Screenshot: </t>
    </r>
    <r>
      <rPr>
        <b/>
        <u/>
        <sz val="11"/>
        <color rgb="FF1155CC"/>
        <rFont val="Calibri"/>
      </rPr>
      <t>https://drive.google.com/file/d/1sn7qekv9GzJ-UyteC5aSDF9FapVSJauC/view?usp=drive_link</t>
    </r>
  </si>
  <si>
    <t>Expected: Validation message must be similar to Field name</t>
  </si>
  <si>
    <t>Actual Result: Validation message showing 'the password' and confirmation password do not match when enter different password in these two field</t>
  </si>
  <si>
    <t>TC-22</t>
  </si>
  <si>
    <t>Check First name, Last name field with number</t>
  </si>
  <si>
    <t>1. Fill number in name fields
2. Fill up other required field.
3. Click Register</t>
  </si>
  <si>
    <t>24432,65265</t>
  </si>
  <si>
    <t>If number input in name fields it should reject the registration and give message that only letter acceptable</t>
  </si>
  <si>
    <t>But it takes number in name filed and success registration</t>
  </si>
  <si>
    <t>https://drive.google.com/file/d/108wrnVbBhg1ioXarS2upmWit8pImni1u/view?usp=drive_link</t>
  </si>
  <si>
    <t># SL 10</t>
  </si>
  <si>
    <t>TC-23</t>
  </si>
  <si>
    <t>Check First name, Last name field with special character</t>
  </si>
  <si>
    <t>1. Fill special character in name fields
2. Fill up other required field.
3. Click Register</t>
  </si>
  <si>
    <t>@#%</t>
  </si>
  <si>
    <t>If special character input in name fields it should reject the registration and give message that only letter acceptable</t>
  </si>
  <si>
    <t>But it takes special character in name filed and success registration</t>
  </si>
  <si>
    <t>Issue: If not select reCAPTCHA the message shows at top of the form near Phone</t>
  </si>
  <si>
    <t>TC-24</t>
  </si>
  <si>
    <t>Check if DOB day/month/year not select properly</t>
  </si>
  <si>
    <t>1. Select month in DOB
2. Fill up other required field.
3. Click Register</t>
  </si>
  <si>
    <t>/10/</t>
  </si>
  <si>
    <t>It should not take the registration and give error message</t>
  </si>
  <si>
    <t>It doesn't take the registration and give message</t>
  </si>
  <si>
    <t>https://drive.google.com/file/d/1GPStfNDztqJO1EsgJsHqYcaVvPEhtK7U/view?usp=drive_link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</si>
  <si>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</si>
  <si>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</si>
  <si>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High | </t>
    </r>
    <r>
      <rPr>
        <b/>
        <sz val="11"/>
        <color rgb="FFFF0000"/>
        <rFont val="Calibri"/>
      </rPr>
      <t xml:space="preserve">Medium </t>
    </r>
    <r>
      <rPr>
        <sz val="11"/>
        <color theme="1"/>
        <rFont val="Calibri"/>
      </rPr>
      <t>| 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</si>
  <si>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</si>
  <si>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r>
      <rPr>
        <b/>
        <u/>
        <sz val="11"/>
        <color rgb="FF0563C1"/>
        <rFont val="Calibri"/>
      </rPr>
      <t xml:space="preserve">Screenshot: </t>
    </r>
    <r>
      <rPr>
        <b/>
        <u/>
        <sz val="11"/>
        <color rgb="FF1155CC"/>
        <rFont val="Calibri"/>
      </rPr>
      <t>https://drive.google.com/file/d/1-tUGfqLWQUF924c1xFRWG6GUxoKq5bi4/view?usp=drive_link</t>
    </r>
  </si>
  <si>
    <t>TC-25</t>
  </si>
  <si>
    <t>Sign In</t>
  </si>
  <si>
    <t>Try to login</t>
  </si>
  <si>
    <t>1. Go to sign in menu
2. Give Phone, Password
3. Click Sign In</t>
  </si>
  <si>
    <t>01968405357,123456</t>
  </si>
  <si>
    <t>when give phone number and password it should login</t>
  </si>
  <si>
    <t>when give phone number and password it shows successfully registered message but bellow say please verify phone number but there is no OTP receive</t>
  </si>
  <si>
    <t>https://drive.google.com/file/d/1bAkEKf2sXSVYH5o03ggefmoFuyoSOyN0/view?usp=drive_link</t>
  </si>
  <si>
    <t>Expected: If reCAPTCHA not select it should show the message bottom of the reCAPTCHA field</t>
  </si>
  <si>
    <t>Actual Result: If not select reCAPTCHA the message shows at top of the form near Phone</t>
  </si>
  <si>
    <t>TC-26</t>
  </si>
  <si>
    <t>UI Testing</t>
  </si>
  <si>
    <t>#SL</t>
  </si>
  <si>
    <t>OTP button position</t>
  </si>
  <si>
    <t>Other pages button keep middle so otp button should be middle</t>
  </si>
  <si>
    <t>Otp button is in left side</t>
  </si>
  <si>
    <t>TC-27</t>
  </si>
  <si>
    <t>Home Page</t>
  </si>
  <si>
    <t>Functional</t>
  </si>
  <si>
    <t># SL 11</t>
  </si>
  <si>
    <t>Logo Navigation</t>
  </si>
  <si>
    <t>Check click logo is it navigate to home page</t>
  </si>
  <si>
    <t>1. Go to Othoba Logo
2. Click on the logo</t>
  </si>
  <si>
    <t>Metrics</t>
  </si>
  <si>
    <t>Click on logo</t>
  </si>
  <si>
    <t>When click on logo it redirect to home page</t>
  </si>
  <si>
    <t>Yes. when click on logo it redirect to home page</t>
  </si>
  <si>
    <t>Issue: If it give space in Phone Filed it should show message that the field must be contain 11 number start with 01</t>
  </si>
  <si>
    <t>Description</t>
  </si>
  <si>
    <t>Result (%)</t>
  </si>
  <si>
    <t>TC-28</t>
  </si>
  <si>
    <t>Search Bar</t>
  </si>
  <si>
    <t>Check is there search bar showing in home page</t>
  </si>
  <si>
    <t>1. Go to Home page
2. Look for search bar</t>
  </si>
  <si>
    <t>FInd search bar</t>
  </si>
  <si>
    <t>Test Data: (01         )</t>
  </si>
  <si>
    <t>As it is an e-commerce site it should show search bar in home page</t>
  </si>
  <si>
    <t>Yes. It shows search bar in home page</t>
  </si>
  <si>
    <t>https://drive.google.com/file/d/1xybEn8930--GtM0gO4KytOsTvqd1WcMH/view?usp=drive_link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</si>
  <si>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</si>
  <si>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</si>
  <si>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</si>
  <si>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t>Percentage of Test Cases Executed</t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</si>
  <si>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</si>
  <si>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r>
      <rPr>
        <b/>
        <u/>
        <sz val="11"/>
        <color rgb="FF0563C1"/>
        <rFont val="Calibri"/>
      </rPr>
      <t xml:space="preserve">Screenshot: </t>
    </r>
    <r>
      <rPr>
        <b/>
        <u/>
        <sz val="11"/>
        <color rgb="FF1155CC"/>
        <rFont val="Calibri"/>
      </rPr>
      <t>https://drive.google.com/file/d/1h1fyLW8wZEwkeJ-xJBAcCZZCj4ck3Vdx/view?usp=drive_link</t>
    </r>
  </si>
  <si>
    <t>(No. of Test Cases Executed / Total no. of Test Cases Written) * 100</t>
  </si>
  <si>
    <t>(200/200)*100 = 100</t>
  </si>
  <si>
    <t>TC-29</t>
  </si>
  <si>
    <t>Check is search bar work with correct key word</t>
  </si>
  <si>
    <t>1. Go to Home page
2. Look for search bar
3. Type Chips</t>
  </si>
  <si>
    <t>Type Chips</t>
  </si>
  <si>
    <t>If search with correct key word it will show products</t>
  </si>
  <si>
    <t>Percentage of Test Cases Not Executed</t>
  </si>
  <si>
    <t>Yes . If search with correct key word it shows desired product</t>
  </si>
  <si>
    <t>(No. of Test Cases not Executed / Total no. of Test Cases Written) * 100</t>
  </si>
  <si>
    <t>(0/200)*100 = 0</t>
  </si>
  <si>
    <t>Percentage of Test Cases Passed</t>
  </si>
  <si>
    <t>TC-30</t>
  </si>
  <si>
    <t>(No. of Test Cases Passed / Total no. of Test Cases Executed) * 100</t>
  </si>
  <si>
    <t>(171/200)*100 = 85.5%</t>
  </si>
  <si>
    <t>Negative</t>
  </si>
  <si>
    <t>Verify that searching with an invalid keyword displays an appropriate result or message.</t>
  </si>
  <si>
    <t>1. Open home page 
2. Type invalid keyword
3. Click the category</t>
  </si>
  <si>
    <t>Percentage of Test Cases Failed</t>
  </si>
  <si>
    <t>(No. of Test Cases Failed / Total no. of Test Cases Executed) * 100</t>
  </si>
  <si>
    <t>Expected: If it give space in Phone Filed it should show message that the field must be contain 11 number start with 01</t>
  </si>
  <si>
    <t>(29/200)*100 = 14.5%</t>
  </si>
  <si>
    <t>xyz123invalid</t>
  </si>
  <si>
    <t>If invalid keyword searching no product should display and through error message</t>
  </si>
  <si>
    <t>Actual Result: It dosn't show any validation message if it keep space. it submit registration button. after submission it shows internal error occurred message</t>
  </si>
  <si>
    <t>Yes. If search invalid keyword it does not show product .</t>
  </si>
  <si>
    <t>Percentage of Test Cases Blocked</t>
  </si>
  <si>
    <t>(No. of Test Cases Blocked / Total no. of Test Cases Executed) * 100</t>
  </si>
  <si>
    <t>TC-31</t>
  </si>
  <si>
    <t>Category Navigation</t>
  </si>
  <si>
    <t>Verify that clicking a category redirects the user to the correct category page.</t>
  </si>
  <si>
    <t>Defect Density</t>
  </si>
  <si>
    <t>1. Open home page 
2. Select a category 
3. Click the category</t>
  </si>
  <si>
    <t>No. of Defects found / Size (No. of Requirements)</t>
  </si>
  <si>
    <t>Any available category</t>
  </si>
  <si>
    <t>N/A</t>
  </si>
  <si>
    <t>If click on a category it should redirect that category page</t>
  </si>
  <si>
    <t>When click on a category it redirects to that category page</t>
  </si>
  <si>
    <t>Defect Removal Efficiency (DRE)</t>
  </si>
  <si>
    <t>(Fixed Defects / (Fixed Defects + Missed Defects)) * 100</t>
  </si>
  <si>
    <t># SL 12</t>
  </si>
  <si>
    <t>Defect Leakage</t>
  </si>
  <si>
    <t>TC-32</t>
  </si>
  <si>
    <t>(No. of Defects found in UAT/ No. of Defects found in Testing) * 100</t>
  </si>
  <si>
    <t>UI</t>
  </si>
  <si>
    <t>Banner</t>
  </si>
  <si>
    <t>Verify that promotional banners are displayed correctly on the home page.</t>
  </si>
  <si>
    <t>1. Open Othoba home page 
2. Check hero section</t>
  </si>
  <si>
    <t>Defect Rejection Ratio</t>
  </si>
  <si>
    <t>When go to home page in hero section there should show bannner with latest offer</t>
  </si>
  <si>
    <t>Yes. in home page hero section there show banner</t>
  </si>
  <si>
    <t>(No. of Defects Rejected/ Total no. of Defects Raised) * 100</t>
  </si>
  <si>
    <t>Issue: In OTP verification page it showing give Phone number in OTP field and don't receive any OTP</t>
  </si>
  <si>
    <t>TC-33</t>
  </si>
  <si>
    <t>Defect Age</t>
  </si>
  <si>
    <t>Banner Link</t>
  </si>
  <si>
    <t>Verify that clicking a promotional banner redirects to the correct page.</t>
  </si>
  <si>
    <t>Fixed date - Reported date</t>
  </si>
  <si>
    <t>1. Open home page 
2. Click promotional banner</t>
  </si>
  <si>
    <t>If click on the promotion banner it should redirect to that promotion page</t>
  </si>
  <si>
    <t>Yes. When click on promotion banner it redirect to that promotion page</t>
  </si>
  <si>
    <t>Customer Satisfaction</t>
  </si>
  <si>
    <t>TC-34</t>
  </si>
  <si>
    <t>No. of complaints per Period of Time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</si>
  <si>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</si>
  <si>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Banner Slider Controls</t>
  </si>
  <si>
    <t>Verify that the next and previous buttons of the banner slider work correctly.</t>
  </si>
  <si>
    <t>1. Open home page 
2. Click next/previous banner buttons</t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</si>
  <si>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</si>
  <si>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t>When click on the pagination button of the banner it should show the correct number page</t>
  </si>
  <si>
    <t>Yes. when click on pagination button it redirect to the correct page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</si>
  <si>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</si>
  <si>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t>TC-35</t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</si>
  <si>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Blocker </t>
    </r>
    <r>
      <rPr>
        <sz val="11"/>
        <color theme="1"/>
        <rFont val="Calibri"/>
      </rPr>
      <t>| Critical | Major | Minor</t>
    </r>
  </si>
  <si>
    <t>Product Price</t>
  </si>
  <si>
    <t>Verify that product prices are displayed correctly.</t>
  </si>
  <si>
    <t>1. Open home page 
2. Check product prices in product card</t>
  </si>
  <si>
    <t>In product card valid price should show for each product</t>
  </si>
  <si>
    <t>Yes. Valid price shows for each product</t>
  </si>
  <si>
    <r>
      <rPr>
        <b/>
        <u/>
        <sz val="11"/>
        <color rgb="FF0563C1"/>
        <rFont val="Calibri"/>
      </rPr>
      <t xml:space="preserve">Screenshot: </t>
    </r>
    <r>
      <rPr>
        <b/>
        <u/>
        <sz val="11"/>
        <color rgb="FF1155CC"/>
        <rFont val="Calibri"/>
      </rPr>
      <t>https://drive.google.com/file/d/1F_uva9znJmdGb7ZP6qzjjALlyPSjOhqK/view?usp=drive_link</t>
    </r>
  </si>
  <si>
    <t>TC-36</t>
  </si>
  <si>
    <t>Discount Price</t>
  </si>
  <si>
    <t>Verify that discounted product prices are displayed correctly.</t>
  </si>
  <si>
    <t>1. Open home page 
2. Calculate discounted product 
3. Check price</t>
  </si>
  <si>
    <t>Calculate Discount</t>
  </si>
  <si>
    <t>Discounted price and original price should be displayed correctly.</t>
  </si>
  <si>
    <t>Discounted price is displayed correctly.</t>
  </si>
  <si>
    <t>TC-37</t>
  </si>
  <si>
    <t>Product Navigation</t>
  </si>
  <si>
    <t>Verify that clicking a product opens the correct product details page.</t>
  </si>
  <si>
    <t>1. Open home page 
2. Click a product</t>
  </si>
  <si>
    <t>Click on any product</t>
  </si>
  <si>
    <t>The selected product details page should open.</t>
  </si>
  <si>
    <t>Product details page opens correctly.</t>
  </si>
  <si>
    <t>TC-38</t>
  </si>
  <si>
    <t>Add to Cart</t>
  </si>
  <si>
    <t>Verify that a product can be added to the cart from the home page.</t>
  </si>
  <si>
    <t>1. Open home page 
2. Select a product 
3. Click Add to Cart</t>
  </si>
  <si>
    <t>Click on add to cart</t>
  </si>
  <si>
    <t>Selected product should be added to the shopping cart successfully.</t>
  </si>
  <si>
    <t>Expected: In OTP verification page there will give the OTP got in phone number</t>
  </si>
  <si>
    <t>Product is added to cart successfully.</t>
  </si>
  <si>
    <t>Actual : But in this page it showing give Phone number in OTP field and don't receive any OTP</t>
  </si>
  <si>
    <t>TC-39</t>
  </si>
  <si>
    <t>Verify that a product can be added to the wishlist from the home page.</t>
  </si>
  <si>
    <t>1. Open home page 
2. Select a product 
3. Click Wishlist</t>
  </si>
  <si>
    <t>Click on wishlist</t>
  </si>
  <si>
    <t>Selected product should be added to the wishlist successfully.</t>
  </si>
  <si>
    <t>Product is added to wishlist successfully.</t>
  </si>
  <si>
    <t>TC-40</t>
  </si>
  <si>
    <t>Cart Count</t>
  </si>
  <si>
    <t>Verify that the cart count is updated after adding a product to the cart.</t>
  </si>
  <si>
    <t>1. Open home page 
2. Add product to cart 
3. Check cart count</t>
  </si>
  <si>
    <t>Add to card some product</t>
  </si>
  <si>
    <t>Cart count should increase according to the number of products added.</t>
  </si>
  <si>
    <t>Cart count is updated correctly.</t>
  </si>
  <si>
    <t>TC-41</t>
  </si>
  <si>
    <t># SL 13</t>
  </si>
  <si>
    <t>Account Navigation</t>
  </si>
  <si>
    <t>Verify that clicking the account option redirects to the correct account page.</t>
  </si>
  <si>
    <t>1. Open home page 
2. Click Account</t>
  </si>
  <si>
    <t>Click on Account</t>
  </si>
  <si>
    <t>User should be redirected to the correct account page.</t>
  </si>
  <si>
    <t>Account page opens correctly.</t>
  </si>
  <si>
    <t>Issue: IN OTP Resent page Resend Otp after 0 no button no countdown</t>
  </si>
  <si>
    <t>TC-42</t>
  </si>
  <si>
    <t>Footer Links</t>
  </si>
  <si>
    <t>Verify that all important footer links redirect to the correct pages.</t>
  </si>
  <si>
    <t>1. Open home page 
2. Scroll to footer 
3. Click footer link</t>
  </si>
  <si>
    <t>Click footer links</t>
  </si>
  <si>
    <t>Each footer link should redirect to its respective page.</t>
  </si>
  <si>
    <t>Footer links redirect correctly.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</si>
  <si>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</si>
  <si>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TC-43</t>
  </si>
  <si>
    <t>Responsive Design Mobile Screen</t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</si>
  <si>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</si>
  <si>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t>Verify that home page is displayed properly on mobile screen.</t>
  </si>
  <si>
    <t>1. Open Othoba website on mobile 
2. Check layout and elements</t>
  </si>
  <si>
    <t>Mobile Screen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</si>
  <si>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</si>
  <si>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t>Home page should display properly without overlapping or broken elements.</t>
  </si>
  <si>
    <t>Home page displays properly on mobile.</t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</si>
  <si>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Blocker </t>
    </r>
    <r>
      <rPr>
        <sz val="11"/>
        <color theme="1"/>
        <rFont val="Calibri"/>
      </rPr>
      <t>| Critical | Major | Minor</t>
    </r>
  </si>
  <si>
    <t>TC-44</t>
  </si>
  <si>
    <r>
      <rPr>
        <b/>
        <u/>
        <sz val="11"/>
        <color rgb="FF0563C1"/>
        <rFont val="Calibri"/>
      </rPr>
      <t xml:space="preserve">Screenshot: </t>
    </r>
    <r>
      <rPr>
        <b/>
        <u/>
        <sz val="11"/>
        <color rgb="FF1155CC"/>
        <rFont val="Calibri"/>
      </rPr>
      <t>https://drive.google.com/file/d/147V_9s_KLVY-PvfWUhUdqNfhsIG7epag/view?usp=drive_link</t>
    </r>
  </si>
  <si>
    <t>Responsive Design Tablet</t>
  </si>
  <si>
    <t>Verify that the home page is displayed properly on a tablet device.</t>
  </si>
  <si>
    <t>1. Open Othoba website on tablet 
2. Check layout and elements</t>
  </si>
  <si>
    <t>Tablet device</t>
  </si>
  <si>
    <t>Home page should display properly without layout issues.</t>
  </si>
  <si>
    <t>Home page displays properly on tablet.</t>
  </si>
  <si>
    <t>TC-45</t>
  </si>
  <si>
    <t>Responsive Design Desktop</t>
  </si>
  <si>
    <t>Verify that the home page is displayed properly on desktop screen sizes.</t>
  </si>
  <si>
    <t>1. Open Othoba website on desktop 
2. Check layout and elements</t>
  </si>
  <si>
    <t>Desktop</t>
  </si>
  <si>
    <t>Home page should display properly on desktop without layout issues.</t>
  </si>
  <si>
    <t>Home page displays properly on desktop.</t>
  </si>
  <si>
    <t>TC-46</t>
  </si>
  <si>
    <t>Images</t>
  </si>
  <si>
    <t>Verify that no broken images are displayed on the home page.</t>
  </si>
  <si>
    <t>1. Open home page 
2. Scroll through the complete page 
3. Check all images</t>
  </si>
  <si>
    <t>All images should load properly without broken image icons.</t>
  </si>
  <si>
    <t>No broken images are displayed.</t>
  </si>
  <si>
    <t>Expected: There will be a resend button after certain time if opt don't get it will resend after clicking this button</t>
  </si>
  <si>
    <t>Actual: Here is Resent After 0 no button no countdown</t>
  </si>
  <si>
    <t>TC-47</t>
  </si>
  <si>
    <t>Performance</t>
  </si>
  <si>
    <t>Page Load</t>
  </si>
  <si>
    <t>Verify that the home page loads within an acceptable time.</t>
  </si>
  <si>
    <t xml:space="preserve">1. Open browser 
2. Enter Othoba website URL </t>
  </si>
  <si>
    <t>Load The Page</t>
  </si>
  <si>
    <t>Home page should load within the acceptable response time without errors.</t>
  </si>
  <si>
    <t>Home page loads within acceptable time.</t>
  </si>
  <si>
    <t>TC-48</t>
  </si>
  <si>
    <t>Header</t>
  </si>
  <si>
    <t>Verify that all important header elements are functional.</t>
  </si>
  <si>
    <t>1. Open home page 
2. Check logo, search, account and cart 
3. Click each element</t>
  </si>
  <si>
    <t>Click on all Header elements</t>
  </si>
  <si>
    <t>Logo, search, account and cart elements should work as expected.</t>
  </si>
  <si>
    <t>Header elements work correctly.</t>
  </si>
  <si>
    <t># SL 14</t>
  </si>
  <si>
    <t>TC-49</t>
  </si>
  <si>
    <t>Bottom to Top button</t>
  </si>
  <si>
    <t>Verify that the Bottom to Top functionality works correctly if available.</t>
  </si>
  <si>
    <t>1. Open home page 
2. Scroll to bottom 
3. Click bottom to Top button</t>
  </si>
  <si>
    <t>Click on bottom to top button</t>
  </si>
  <si>
    <t>User should be returned to the top of the page when clicking Bottom to Top button</t>
  </si>
  <si>
    <t>Bottom to Top works correctly.</t>
  </si>
  <si>
    <t>Issue: Previous registered email can registered again</t>
  </si>
  <si>
    <t>TC-50</t>
  </si>
  <si>
    <t>Empty Search</t>
  </si>
  <si>
    <t>Verify that searching without entering any keyword is handled properly.</t>
  </si>
  <si>
    <t>1. Leave search bar empty 
2. Click Enter</t>
  </si>
  <si>
    <t>Blank Search</t>
  </si>
  <si>
    <t>System should not perform a blank search and should not show anything</t>
  </si>
  <si>
    <t>After empty search nothing shows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</si>
  <si>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</si>
  <si>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TC-51</t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</si>
  <si>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</si>
  <si>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t>Search Result</t>
  </si>
  <si>
    <t>Verify that search results are relevant to the entered keyword.</t>
  </si>
  <si>
    <t>1. Type"Shoes" 
2. Click Enter</t>
  </si>
  <si>
    <t>Shoes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</si>
  <si>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</si>
  <si>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t>Search results should contain products related to the entered keyword.</t>
  </si>
  <si>
    <t>Results are relevant to the keyword.</t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</si>
  <si>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</t>
    </r>
    <r>
      <rPr>
        <b/>
        <sz val="11"/>
        <color rgb="FFFF0000"/>
        <rFont val="Calibri"/>
      </rPr>
      <t xml:space="preserve">Critical </t>
    </r>
    <r>
      <rPr>
        <sz val="11"/>
        <color theme="1"/>
        <rFont val="Calibri"/>
      </rPr>
      <t>| Major | Minor</t>
    </r>
  </si>
  <si>
    <t>TC-52</t>
  </si>
  <si>
    <t>Verify that product names are displayed correctly in search results.</t>
  </si>
  <si>
    <t xml:space="preserve">Screenshot: </t>
  </si>
  <si>
    <t>1. Search for a product 
2. Check product names</t>
  </si>
  <si>
    <t>Product names should be visible and readable.</t>
  </si>
  <si>
    <t>Product names are displayed correctly.</t>
  </si>
  <si>
    <t>Expected: It should show a message that this email already registered</t>
  </si>
  <si>
    <t>Actual: But it takes the previous registered email</t>
  </si>
  <si>
    <t>TC-53</t>
  </si>
  <si>
    <t>Product Image</t>
  </si>
  <si>
    <t>Verify that product images are displayed correctly in search results.</t>
  </si>
  <si>
    <t>1. Search for a product 
2. Check product images</t>
  </si>
  <si>
    <t>Product images should load without broken image icon</t>
  </si>
  <si>
    <t>Product images are displayed correctly.</t>
  </si>
  <si>
    <t>TC-54</t>
  </si>
  <si>
    <t>Verify that product prices are displayed correctly in search results.</t>
  </si>
  <si>
    <t>1. Search for a product 
2. Check prices</t>
  </si>
  <si>
    <t>Product prices should be visible when search a product</t>
  </si>
  <si>
    <t>Product prices not displayed</t>
  </si>
  <si>
    <t>https://drive.google.com/file/d/1znpN3pOLNI1PErNqaMW86OgOqojT-Ks4/view?usp=drive_link</t>
  </si>
  <si>
    <t># SL 15</t>
  </si>
  <si>
    <t>Issue: It takes number in name field</t>
  </si>
  <si>
    <t>TC-55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</si>
  <si>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</si>
  <si>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Verify that clicking a search result opens the correct product details page.</t>
  </si>
  <si>
    <t>1. Search for a product 
2. Click a result</t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</si>
  <si>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</si>
  <si>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t>Any searched product</t>
  </si>
  <si>
    <t>Selected product details page should open.</t>
  </si>
  <si>
    <t>Correct product details page opens.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</si>
  <si>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</si>
  <si>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t>TC-56</t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</si>
  <si>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</si>
  <si>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t>Search Result Count</t>
  </si>
  <si>
    <t>Verify that the search result count is displayed correctly</t>
  </si>
  <si>
    <t>1. Search for Shoes 
2. Check result count</t>
  </si>
  <si>
    <t>Result count should match the available search results.</t>
  </si>
  <si>
    <t xml:space="preserve">Result count not displayed </t>
  </si>
  <si>
    <r>
      <rPr>
        <b/>
        <u/>
        <sz val="11"/>
        <color rgb="FF0563C1"/>
        <rFont val="Calibri"/>
      </rPr>
      <t xml:space="preserve">Screenshot: </t>
    </r>
    <r>
      <rPr>
        <b/>
        <u/>
        <sz val="11"/>
        <color rgb="FF1155CC"/>
        <rFont val="Calibri"/>
      </rPr>
      <t>https://drive.google.com/file/d/108wrnVbBhg1ioXarS2upmWit8pImni1u/view?usp=drive_link</t>
    </r>
  </si>
  <si>
    <t>TC-57</t>
  </si>
  <si>
    <t>Case Sensitivity</t>
  </si>
  <si>
    <t>Verify that search works with uppercase and lowercase keywords.</t>
  </si>
  <si>
    <t>1. Search using "Detergent" 
2. Search using "detergent " 
3. Compare results</t>
  </si>
  <si>
    <t>Detergent / detergent</t>
  </si>
  <si>
    <t>System should show relevant results if search upper or lower case</t>
  </si>
  <si>
    <t>Results are showed correctly.</t>
  </si>
  <si>
    <t>TC-58</t>
  </si>
  <si>
    <t>Partial Keyword</t>
  </si>
  <si>
    <t>Verify that search works with partial product keyword.</t>
  </si>
  <si>
    <t>1. Enter partial keyword 
2. Click Search</t>
  </si>
  <si>
    <t>Powd</t>
  </si>
  <si>
    <t>System should display relevant products matching the partial keyword.</t>
  </si>
  <si>
    <t>Relevant results are displayed.</t>
  </si>
  <si>
    <t>TC-59</t>
  </si>
  <si>
    <t>Numeric Input</t>
  </si>
  <si>
    <t>Verify that the search handles numeric input correctly.</t>
  </si>
  <si>
    <t>1. Enter numeric value 
2. Enter Search</t>
  </si>
  <si>
    <t>System should display relevant results or an appropriate no result response.</t>
  </si>
  <si>
    <t>System shows relevant result with number and when invalid number input it gives invalid message</t>
  </si>
  <si>
    <t>Expected: If number input in name fields it should reject the registration and give message that only letter acceptable</t>
  </si>
  <si>
    <t>Actual: But it takes number in name filed and success registration</t>
  </si>
  <si>
    <t>TC-60</t>
  </si>
  <si>
    <t>Multiple Words</t>
  </si>
  <si>
    <t>Verify that search works with multiple word keywords.</t>
  </si>
  <si>
    <t>1. Enter "Men Powder" 
2. Enter Search</t>
  </si>
  <si>
    <t>Men Powder</t>
  </si>
  <si>
    <t>System should display relevant products matching the multiple word keyword.</t>
  </si>
  <si>
    <t>TC-61</t>
  </si>
  <si>
    <t>Search with Spaces</t>
  </si>
  <si>
    <t>Verify that the search handles correctly spaces in the keyword.</t>
  </si>
  <si>
    <t>1. Enter keyword with spaces 
2. Enter Search</t>
  </si>
  <si>
    <t xml:space="preserve">  pow der</t>
  </si>
  <si>
    <t>System should trim or properly handle spaces and return relevant results.</t>
  </si>
  <si>
    <t>Spaces are handled correctly and showed relevant result</t>
  </si>
  <si>
    <t># SL 16</t>
  </si>
  <si>
    <t>TC-62</t>
  </si>
  <si>
    <t>Search Suggestions</t>
  </si>
  <si>
    <t>Verify that search suggestions are displayed while entering a keyword if the product is available.</t>
  </si>
  <si>
    <t>1. Click search bar 
2. Enter "Chi" 
3. Observe suggestions</t>
  </si>
  <si>
    <t>Chi</t>
  </si>
  <si>
    <t>Issue: It takes special character in name filed and success registration</t>
  </si>
  <si>
    <t>Relevant search suggestions should be displayed.</t>
  </si>
  <si>
    <t>Relevant suggestions are displayed.</t>
  </si>
  <si>
    <t>TC-63</t>
  </si>
  <si>
    <t>Responsive Search</t>
  </si>
  <si>
    <t>Verify that the search functionality is displayed properly on mobile devices.</t>
  </si>
  <si>
    <t>1. Open website on mobile 
2. Perform a search</t>
  </si>
  <si>
    <t>Search Othoba in mobile</t>
  </si>
  <si>
    <t>Search bar and results should be properly displayed without layout issues.</t>
  </si>
  <si>
    <t>Search works properly on mobile.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</si>
  <si>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</si>
  <si>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</si>
  <si>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t>TC-64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</si>
  <si>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</si>
  <si>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t>Browser Compatibility</t>
  </si>
  <si>
    <t>Verify that search functionality works correctly on supported browsers.</t>
  </si>
  <si>
    <t>1. Open website on different browsers 
2. Perform search</t>
  </si>
  <si>
    <t>Chrome / Firefox / Edge</t>
  </si>
  <si>
    <t>Search should work consistently on supported browsers.</t>
  </si>
  <si>
    <t>Search works correctly.</t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</si>
  <si>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</si>
  <si>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t>TC-65</t>
  </si>
  <si>
    <t>Category</t>
  </si>
  <si>
    <t>Verify that products are displayed on the category page.</t>
  </si>
  <si>
    <t>1. Open category page 
2. Check product listing</t>
  </si>
  <si>
    <t>Available products should be displayed properly.</t>
  </si>
  <si>
    <t>Expected: If special character input in name fields it should reject the registration and give message that only letter acceptable</t>
  </si>
  <si>
    <t>Products are displayed correctly.</t>
  </si>
  <si>
    <t>Actual : But it takes special character in name filed and success registration</t>
  </si>
  <si>
    <t>TC-66</t>
  </si>
  <si>
    <t>Product Card</t>
  </si>
  <si>
    <t>Verify that each product card displays the required information.</t>
  </si>
  <si>
    <t>1. Open category page
2. Check product cards</t>
  </si>
  <si>
    <t>Any available product</t>
  </si>
  <si>
    <t>Product card should display product image, name, price and other available information correctly.</t>
  </si>
  <si>
    <t>Product cards display required information.</t>
  </si>
  <si>
    <t>TC-67</t>
  </si>
  <si>
    <t>Verify that discounted products display the original and discounted prices correctly.</t>
  </si>
  <si>
    <t>1. Open category page 
2. Find discounted product 
3. Check prices</t>
  </si>
  <si>
    <t>Discounted product</t>
  </si>
  <si>
    <t># SL 17</t>
  </si>
  <si>
    <t>Original price and discounted price should be displayed correctly.</t>
  </si>
  <si>
    <t>Prices are displayed correctly.</t>
  </si>
  <si>
    <t>TC-68</t>
  </si>
  <si>
    <t>1. Open category page 
2. Click a product</t>
  </si>
  <si>
    <t>Issue: when give phone number and password in SIgn In it shows successfully registered message but bellow say please verify phone number but there is no OTP receive</t>
  </si>
  <si>
    <t>TC-69</t>
  </si>
  <si>
    <t>Verify that a product can be added to cart from the product listing.</t>
  </si>
  <si>
    <t>1. Open category page 
2. Click Add to Cart on a product</t>
  </si>
  <si>
    <t>Available product</t>
  </si>
  <si>
    <t>Selected product should be added to the cart successfully.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</si>
  <si>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</si>
  <si>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TC-70</t>
  </si>
  <si>
    <t>Verify that a product can be added to wishlist from the product listing.</t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</si>
  <si>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Log In</t>
    </r>
  </si>
  <si>
    <t>1. Open category page 
2. Click Wishlist on a product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</si>
  <si>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</si>
  <si>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</si>
  <si>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t>TC-71</t>
  </si>
  <si>
    <t>Price Sorting</t>
  </si>
  <si>
    <r>
      <rPr>
        <b/>
        <u/>
        <sz val="11"/>
        <color rgb="FF0563C1"/>
        <rFont val="Calibri"/>
      </rPr>
      <t xml:space="preserve">Screenshot:  </t>
    </r>
    <r>
      <rPr>
        <b/>
        <u/>
        <sz val="11"/>
        <color rgb="FF1155CC"/>
        <rFont val="Calibri"/>
      </rPr>
      <t>https://drive.google.com/file/d/1bAkEKf2sXSVYH5o03ggefmoFuyoSOyN0/view?usp=drive_link</t>
    </r>
  </si>
  <si>
    <t>Verify that products are sorted correctly from low price to high price.</t>
  </si>
  <si>
    <t>1. Open category page 
2. Select PriceAsc</t>
  </si>
  <si>
    <t>PriceAsc</t>
  </si>
  <si>
    <t>Products should be displayed from lowest price to highest price.</t>
  </si>
  <si>
    <t>Products are sorted correctly.</t>
  </si>
  <si>
    <t>TC-72</t>
  </si>
  <si>
    <t>Verify that products are sorted correctly from high price to low price.</t>
  </si>
  <si>
    <t>1. Open category page 
2. Select PriceDesc</t>
  </si>
  <si>
    <t>PriceDesc</t>
  </si>
  <si>
    <t>Products should be displayed from highest price to lowest price.</t>
  </si>
  <si>
    <t>TC-73</t>
  </si>
  <si>
    <t>Filter</t>
  </si>
  <si>
    <t>Verify that product filtering works correctly.</t>
  </si>
  <si>
    <t>1. Open category page 
2. Select a filter 
3. Check results</t>
  </si>
  <si>
    <t>Mithai</t>
  </si>
  <si>
    <t>Products should be filtered according to the selected criteria.</t>
  </si>
  <si>
    <t>Products are filtered correctly.</t>
  </si>
  <si>
    <t>TC-74</t>
  </si>
  <si>
    <t>Pagination</t>
  </si>
  <si>
    <t>Verify that pagination works correctly when multiple pages of products are available.</t>
  </si>
  <si>
    <t>1. Open category page 
2. Scroll to pagination 
3. Click next page</t>
  </si>
  <si>
    <t>Click Pagination</t>
  </si>
  <si>
    <t>User should be able to navigate between product pages.</t>
  </si>
  <si>
    <t>Pagination works correctly.</t>
  </si>
  <si>
    <t>Expected: when give phone number and password it should login</t>
  </si>
  <si>
    <t>Actual : when give phone number and password it shows successfully registered message but bellow say please verify phone number but there is no OTP receive</t>
  </si>
  <si>
    <t># SL 18</t>
  </si>
  <si>
    <t>Issue: Otp button is in left side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</si>
  <si>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</si>
  <si>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Log In</t>
    </r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</si>
  <si>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High | Medium | </t>
    </r>
    <r>
      <rPr>
        <b/>
        <sz val="11"/>
        <color rgb="FFFF0000"/>
        <rFont val="Calibri"/>
      </rPr>
      <t>Low</t>
    </r>
  </si>
  <si>
    <t>TC-75</t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</si>
  <si>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Major | </t>
    </r>
    <r>
      <rPr>
        <b/>
        <sz val="11"/>
        <color rgb="FFFF0000"/>
        <rFont val="Calibri"/>
      </rPr>
      <t>Minor</t>
    </r>
  </si>
  <si>
    <r>
      <rPr>
        <b/>
        <u/>
        <sz val="11"/>
        <color rgb="FF0563C1"/>
        <rFont val="Calibri"/>
      </rPr>
      <t xml:space="preserve">Screenshot:  </t>
    </r>
    <r>
      <rPr>
        <b/>
        <u/>
        <sz val="11"/>
        <color rgb="FF1155CC"/>
        <rFont val="Calibri"/>
      </rPr>
      <t>https://drive.google.com/file/d/1F_uva9znJmdGb7ZP6qzjjALlyPSjOhqK/view?usp=drive_link</t>
    </r>
  </si>
  <si>
    <t>Next Page</t>
  </si>
  <si>
    <t>Expected: Other pages button keep middle so otp button should be middle</t>
  </si>
  <si>
    <t>Verify that clicking the Next button displays the next set of products.</t>
  </si>
  <si>
    <t>Actual: Otp button is in left side</t>
  </si>
  <si>
    <t>1. Open category page 
2. Click Next</t>
  </si>
  <si>
    <t>Click Next Button</t>
  </si>
  <si>
    <t>Next page should load with the correct products.</t>
  </si>
  <si>
    <t>Next page loads correctly.</t>
  </si>
  <si>
    <t># SL 19</t>
  </si>
  <si>
    <t>Issue: When search Product prices not displayed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</si>
  <si>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</si>
  <si>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Search</t>
    </r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</si>
  <si>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High | Medium | </t>
    </r>
    <r>
      <rPr>
        <b/>
        <sz val="11"/>
        <color rgb="FFFF0000"/>
        <rFont val="Calibri"/>
      </rPr>
      <t>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</si>
  <si>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Major | </t>
    </r>
    <r>
      <rPr>
        <b/>
        <sz val="11"/>
        <color rgb="FFFF0000"/>
        <rFont val="Calibri"/>
      </rPr>
      <t>Minor</t>
    </r>
  </si>
  <si>
    <t>TC-76</t>
  </si>
  <si>
    <t>Previous Page</t>
  </si>
  <si>
    <r>
      <rPr>
        <b/>
        <u/>
        <sz val="11"/>
        <color rgb="FF0563C1"/>
        <rFont val="Calibri"/>
      </rPr>
      <t xml:space="preserve">Screenshot:  </t>
    </r>
    <r>
      <rPr>
        <b/>
        <u/>
        <sz val="11"/>
        <color rgb="FF1155CC"/>
        <rFont val="Calibri"/>
      </rPr>
      <t>https://drive.google.com/file/d/1znpN3pOLNI1PErNqaMW86OgOqojT-Ks4/view?usp=drive_link</t>
    </r>
  </si>
  <si>
    <t>Verify that clicking the Previous button displays the previous set of products.</t>
  </si>
  <si>
    <t>1. Open category page 
2. Click Previous</t>
  </si>
  <si>
    <t>Click Previous Button</t>
  </si>
  <si>
    <t>Previous page should load with the correct products.</t>
  </si>
  <si>
    <t>Previous page loads correctly.</t>
  </si>
  <si>
    <t>TC-77</t>
  </si>
  <si>
    <t>Subcategory</t>
  </si>
  <si>
    <t>Verify that available subcategories can be selected successfully.</t>
  </si>
  <si>
    <t>1. Open category page 
2. Select a subcategory</t>
  </si>
  <si>
    <t>Any available subcategory</t>
  </si>
  <si>
    <t>Selected subcategory should open and display relevant products.</t>
  </si>
  <si>
    <t>Subcategory opens correctly.</t>
  </si>
  <si>
    <t>TC-78</t>
  </si>
  <si>
    <t>Expected: Product prices should be visible when search a product</t>
  </si>
  <si>
    <t>Out of Stock</t>
  </si>
  <si>
    <t>Responsible QA: Mr. ABC</t>
  </si>
  <si>
    <t>Verify that out-of-stock products are handled correctly.</t>
  </si>
  <si>
    <t>1. Open category page 
2. Find out-of-stock product 
3. Try add to cart</t>
  </si>
  <si>
    <t>Out-of-stock products should be clearly identified and purchase option should be desable</t>
  </si>
  <si>
    <t>Out-of-stock product mentions and can't open that product card for add to cart</t>
  </si>
  <si>
    <t>TC-79</t>
  </si>
  <si>
    <t># SL 20</t>
  </si>
  <si>
    <t>Product Rating</t>
  </si>
  <si>
    <t>Verify that product ratings and review counts are displayed correctly if available.</t>
  </si>
  <si>
    <t>1. Open category page 
2. Check product rating</t>
  </si>
  <si>
    <t>Any rated product</t>
  </si>
  <si>
    <t>Product rating &amp; review information should be visible and properly formatted.</t>
  </si>
  <si>
    <t>Product ratings &amp; review are displayed correctly.</t>
  </si>
  <si>
    <t>TC-80</t>
  </si>
  <si>
    <t>Breadcrumb</t>
  </si>
  <si>
    <t>Verify that the category breadcrumb navigation works correctly.</t>
  </si>
  <si>
    <t>1. Open category page 
2. Check breadcrumb 
3. Click previous category</t>
  </si>
  <si>
    <t>Any category</t>
  </si>
  <si>
    <t>Breadcrumb should show the correct navigation path and links should work.</t>
  </si>
  <si>
    <t>Breadcrumb works correctly.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</si>
  <si>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</si>
  <si>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Search</t>
    </r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</si>
  <si>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High | Medium | </t>
    </r>
    <r>
      <rPr>
        <b/>
        <sz val="11"/>
        <color rgb="FFFF0000"/>
        <rFont val="Calibri"/>
      </rPr>
      <t>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</si>
  <si>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Major | </t>
    </r>
    <r>
      <rPr>
        <b/>
        <sz val="11"/>
        <color rgb="FFFF0000"/>
        <rFont val="Calibri"/>
      </rPr>
      <t>Minor</t>
    </r>
  </si>
  <si>
    <t>TC-81</t>
  </si>
  <si>
    <r>
      <rPr>
        <b/>
        <u/>
        <sz val="11"/>
        <color rgb="FF0563C1"/>
        <rFont val="Calibri"/>
      </rPr>
      <t xml:space="preserve">Screenshot:  </t>
    </r>
    <r>
      <rPr>
        <b/>
        <u/>
        <sz val="11"/>
        <color rgb="FF1155CC"/>
        <rFont val="Calibri"/>
      </rPr>
      <t>https://drive.google.com/file/d/1znpN3pOLNI1PErNqaMW86OgOqojT-Ks4/view?usp=drive_link</t>
    </r>
  </si>
  <si>
    <t>Wishlist Page</t>
  </si>
  <si>
    <t>Verify that the wishlist page loads successfully.</t>
  </si>
  <si>
    <t>1. Login to account 
2. Open Wishlist page</t>
  </si>
  <si>
    <t>Wishlist page should load successfully without any error.</t>
  </si>
  <si>
    <t>Wishlist page loads successfully.</t>
  </si>
  <si>
    <t>Actual: Product prices not displayed</t>
  </si>
  <si>
    <t>TC-82</t>
  </si>
  <si>
    <t>Add to Wishlist</t>
  </si>
  <si>
    <t>Verify that a product can be added to the wishlist.</t>
  </si>
  <si>
    <t>1. Open product details 
2. Click Wishlist</t>
  </si>
  <si>
    <t># SL 21</t>
  </si>
  <si>
    <t>Click wishlist</t>
  </si>
  <si>
    <t>Product is added successfully.</t>
  </si>
  <si>
    <t>Issue:  Result count not displayed in product search</t>
  </si>
  <si>
    <t>TC-83</t>
  </si>
  <si>
    <t>Wishlist Product</t>
  </si>
  <si>
    <t>Verify that the added product is displayed in the wishlist.</t>
  </si>
  <si>
    <t>1. Add product to wishlist 
2. Open Wishlist</t>
  </si>
  <si>
    <t>Wishlisted product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</si>
  <si>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</si>
  <si>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Added product should appear in the wishlist.</t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</si>
  <si>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Search</t>
    </r>
  </si>
  <si>
    <t>Product appears in wishlist.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</si>
  <si>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High | Medium | </t>
    </r>
    <r>
      <rPr>
        <b/>
        <sz val="11"/>
        <color rgb="FFFF0000"/>
        <rFont val="Calibri"/>
      </rPr>
      <t>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</si>
  <si>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Major | </t>
    </r>
    <r>
      <rPr>
        <b/>
        <sz val="11"/>
        <color rgb="FFFF0000"/>
        <rFont val="Calibri"/>
      </rPr>
      <t>Minor</t>
    </r>
  </si>
  <si>
    <r>
      <rPr>
        <b/>
        <u/>
        <sz val="11"/>
        <color rgb="FF0563C1"/>
        <rFont val="Calibri"/>
      </rPr>
      <t xml:space="preserve">Screenshot:  </t>
    </r>
    <r>
      <rPr>
        <b/>
        <u/>
        <sz val="11"/>
        <color rgb="FF1155CC"/>
        <rFont val="Calibri"/>
      </rPr>
      <t>https://drive.google.com/file/d/1znpN3pOLNI1PErNqaMW86OgOqojT-Ks4/view?usp=drive_link</t>
    </r>
  </si>
  <si>
    <t>TC-84</t>
  </si>
  <si>
    <t>Expected: Result count should match the available search results.</t>
  </si>
  <si>
    <t xml:space="preserve">Actual: Result count not displayed </t>
  </si>
  <si>
    <t>Product Information</t>
  </si>
  <si>
    <t>Verify that product information is displayed correctly in the wishlist.</t>
  </si>
  <si>
    <t>1. Open Wishlist 
2. Check product information</t>
  </si>
  <si>
    <t>Product image, name and price should be displayed correctly.</t>
  </si>
  <si>
    <t>Product information is displayed correctly but image not showing</t>
  </si>
  <si>
    <t>https://drive.google.com/file/d/1s5dBXUXl69musBkpTWwf8yl8GnwheVJw/view?usp=drive_link</t>
  </si>
  <si>
    <t># SL 22</t>
  </si>
  <si>
    <t>Issue:  In wishlist page Product information is displayed correctly but image not showing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</si>
  <si>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</si>
  <si>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Wishlist</t>
    </r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</si>
  <si>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High | </t>
    </r>
    <r>
      <rPr>
        <b/>
        <sz val="11"/>
        <color rgb="FFFF0000"/>
        <rFont val="Calibri"/>
      </rPr>
      <t xml:space="preserve">Medium </t>
    </r>
    <r>
      <rPr>
        <sz val="11"/>
        <color theme="1"/>
        <rFont val="Calibri"/>
      </rPr>
      <t>| 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</si>
  <si>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Major | </t>
    </r>
    <r>
      <rPr>
        <b/>
        <sz val="11"/>
        <color rgb="FFFF0000"/>
        <rFont val="Calibri"/>
      </rPr>
      <t>Minor</t>
    </r>
  </si>
  <si>
    <r>
      <rPr>
        <b/>
        <u/>
        <sz val="11"/>
        <color rgb="FF0563C1"/>
        <rFont val="Calibri"/>
      </rPr>
      <t xml:space="preserve">Screenshot:  </t>
    </r>
    <r>
      <rPr>
        <b/>
        <u/>
        <sz val="11"/>
        <color rgb="FF1155CC"/>
        <rFont val="Calibri"/>
      </rPr>
      <t>https://drive.google.com/file/d/1s5dBXUXl69musBkpTWwf8yl8GnwheVJw/view?usp=drive_link</t>
    </r>
  </si>
  <si>
    <t>Expected: Product image, name and price should be displayed correctly.</t>
  </si>
  <si>
    <t>Actual: Product information is displayed correctly but image not showing</t>
  </si>
  <si>
    <t>TC-85</t>
  </si>
  <si>
    <t>Remove Product</t>
  </si>
  <si>
    <t>Verify that a product can be removed from the wishlist.</t>
  </si>
  <si>
    <t>1. Open Wishlist 
2. Click cross icon</t>
  </si>
  <si>
    <t>Selected product should be removed successfully.</t>
  </si>
  <si>
    <t>Product is removed successfully.</t>
  </si>
  <si>
    <t># SL 23</t>
  </si>
  <si>
    <t>TC-86</t>
  </si>
  <si>
    <t>Multiple Products</t>
  </si>
  <si>
    <t>Verify that multiple products can be added to the wishlist.</t>
  </si>
  <si>
    <t>1. Add multiple products to wishlist 
2. Open Wishlist</t>
  </si>
  <si>
    <t>Water Filter, Shoes, Chips</t>
  </si>
  <si>
    <t>Multiple selected products should be added successfully.</t>
  </si>
  <si>
    <t>Multiple products are added successfully.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</si>
  <si>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</si>
  <si>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Wishlist</t>
    </r>
  </si>
  <si>
    <t>TC-87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</si>
  <si>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High | </t>
    </r>
    <r>
      <rPr>
        <b/>
        <sz val="11"/>
        <color rgb="FFFF0000"/>
        <rFont val="Calibri"/>
      </rPr>
      <t xml:space="preserve">Medium </t>
    </r>
    <r>
      <rPr>
        <sz val="11"/>
        <color theme="1"/>
        <rFont val="Calibri"/>
      </rPr>
      <t>| Low</t>
    </r>
  </si>
  <si>
    <t>Multiple Product Removal</t>
  </si>
  <si>
    <t>Verify that multiple products can be removed from the wishlist.</t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</si>
  <si>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Major | </t>
    </r>
    <r>
      <rPr>
        <b/>
        <sz val="11"/>
        <color rgb="FFFF0000"/>
        <rFont val="Calibri"/>
      </rPr>
      <t>Minor</t>
    </r>
  </si>
  <si>
    <t>1. Open Wishlist 
2. Remove multiple products</t>
  </si>
  <si>
    <t>Multiple wishlisted products</t>
  </si>
  <si>
    <r>
      <rPr>
        <b/>
        <u/>
        <sz val="11"/>
        <color rgb="FF0563C1"/>
        <rFont val="Calibri"/>
      </rPr>
      <t xml:space="preserve">Screenshot:  </t>
    </r>
    <r>
      <rPr>
        <b/>
        <u/>
        <sz val="11"/>
        <color rgb="FF1155CC"/>
        <rFont val="Calibri"/>
      </rPr>
      <t>https://drive.google.com/file/d/1s5dBXUXl69musBkpTWwf8yl8GnwheVJw/view?usp=drive_link</t>
    </r>
  </si>
  <si>
    <t>Selected products should be removed successfully.</t>
  </si>
  <si>
    <t>Products are removed successfully.</t>
  </si>
  <si>
    <t>TC-88</t>
  </si>
  <si>
    <t>Verify that a wishlist product can be added to the cart.</t>
  </si>
  <si>
    <t>1. Open Wishlist 
2. Click Add to Cart</t>
  </si>
  <si>
    <t>Selected wishlist product should be added to the cart successfully.</t>
  </si>
  <si>
    <t># SL 24</t>
  </si>
  <si>
    <t>Issue:  Verify that registration cannot be completed using an already registered email address.</t>
  </si>
  <si>
    <t>TC-89</t>
  </si>
  <si>
    <t>Login Required for wishlisting</t>
  </si>
  <si>
    <t>Verify that wishlist add when user loged in</t>
  </si>
  <si>
    <t>1. Logout 
2. Open product 
3. Click Wishlist</t>
  </si>
  <si>
    <t>Try to Add wishlist</t>
  </si>
  <si>
    <t>Without login product will not wishlisting</t>
  </si>
  <si>
    <t>Without login wishlist dosen't work</t>
  </si>
  <si>
    <t>TC-90</t>
  </si>
  <si>
    <t>1. Enter an already registered email 
2. Fill required fields 
3. Click Register</t>
  </si>
  <si>
    <t>Duplicate Product Wishlisting</t>
  </si>
  <si>
    <t>Verify that the same product cannot be added to the wishlist multiple times.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</si>
  <si>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</si>
  <si>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1. Add product to wishlist 
2. Click Wishlist again</t>
  </si>
  <si>
    <t>Wishlisting Same product</t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</si>
  <si>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</si>
  <si>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t>System should keep only one product in wishlist.</t>
  </si>
  <si>
    <t>Duplicate product is not added.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</si>
  <si>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</t>
    </r>
    <r>
   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Pr>
      <t>| Medium | 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</si>
  <si>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</t>
    </r>
    <r>
      <rPr>
        <b/>
        <sz val="11"/>
        <color rgb="FFFF0000"/>
        <rFont val="Calibri"/>
      </rPr>
      <t xml:space="preserve">Major </t>
    </r>
    <r>
      <rPr>
        <sz val="11"/>
        <color theme="1"/>
        <rFont val="Calibri"/>
      </rPr>
      <t>| Minor</t>
    </r>
  </si>
  <si>
    <t>Screenshot:</t>
  </si>
  <si>
    <t>TC-91</t>
  </si>
  <si>
    <t>Expected: System should display an appropriate duplicate email message.</t>
  </si>
  <si>
    <t>Responsive Design</t>
  </si>
  <si>
    <t>Actual: System take duplicate email address</t>
  </si>
  <si>
    <t>Verify that the wishlist page is displayed correctly on mobile devices.</t>
  </si>
  <si>
    <t>1. Login 
2. Open Wishlist on mobile 
3. Check layout</t>
  </si>
  <si>
    <t>Mobile device</t>
  </si>
  <si>
    <t>Wishlist should be responsive without overlapping or broken elements.</t>
  </si>
  <si>
    <t>Wishlist displays correctly on mobile.</t>
  </si>
  <si>
    <t>TC-92</t>
  </si>
  <si>
    <t>Add cart</t>
  </si>
  <si>
    <t>Verify that a product can be added to the shopping cart.</t>
  </si>
  <si>
    <t>1. Open product details 
2. Click Add to Cart 
3. Open Cart</t>
  </si>
  <si>
    <t>Add to cart</t>
  </si>
  <si>
    <t># SL 25</t>
  </si>
  <si>
    <t xml:space="preserve">Issue:  System does not have any restriction for name field lenght . </t>
  </si>
  <si>
    <t>TC-93</t>
  </si>
  <si>
    <t>Verify that the added product information is displayed correctly in the cart.</t>
  </si>
  <si>
    <t>1. Enter a very long First Name 
2. Check field behavior 
3. Submit form</t>
  </si>
  <si>
    <t>1. Add product to cart 
2. Open Cart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</si>
  <si>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</si>
  <si>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Carted Product</t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</si>
  <si>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</si>
  <si>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t>Product name, image, price and other available information should be shown correct.</t>
  </si>
  <si>
    <t>Product information is displayed correctly.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</si>
  <si>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High | </t>
    </r>
    <r>
      <rPr>
        <b/>
        <sz val="11"/>
        <color rgb="FFFF0000"/>
        <rFont val="Calibri"/>
      </rPr>
      <t xml:space="preserve">Medium </t>
    </r>
    <r>
      <rPr>
        <sz val="11"/>
        <color theme="1"/>
        <rFont val="Calibri"/>
      </rPr>
      <t>| Low</t>
    </r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</si>
  <si>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Major | </t>
    </r>
    <r>
      <rPr>
        <b/>
        <sz val="11"/>
        <color rgb="FFFF0000"/>
        <rFont val="Calibri"/>
      </rPr>
      <t>Minor</t>
    </r>
  </si>
  <si>
    <t>Expected: System should restrict or validate the maximum allowed length.</t>
  </si>
  <si>
    <t xml:space="preserve">Actual: System does not have any restriction for name field lenght . </t>
  </si>
  <si>
    <t>TC-94</t>
  </si>
  <si>
    <t>Quantity Increase</t>
  </si>
  <si>
    <t>Verify that the product quantity can be increased from the cart.</t>
  </si>
  <si>
    <t>1. Add product to cart 
2. Click + quantity button</t>
  </si>
  <si>
    <t>Quantity 1 → 2</t>
  </si>
  <si>
    <t>Product quantity should increase correctly.</t>
  </si>
  <si>
    <t>Quantity increases correctly.</t>
  </si>
  <si>
    <t># SL 26</t>
  </si>
  <si>
    <t>Issue:  System takes any lenght of password</t>
  </si>
  <si>
    <t>TC-95</t>
  </si>
  <si>
    <t>1. Enter very long password 
2. Fill other fields 
3. Click Register</t>
  </si>
  <si>
    <t>Quantity Decrease</t>
  </si>
  <si>
    <t>Verify that the product quantity can be decreased from the cart.</t>
  </si>
  <si>
    <r>
      <rPr>
        <b/>
        <sz val="11"/>
        <color theme="1"/>
        <rFont val="Calibri"/>
      </rPr>
      <t>Env:</t>
    </r>
    <r>
      <rPr>
        <sz val="10"/>
        <color theme="1"/>
        <rFont val="Calibri"/>
      </rPr>
      <t xml:space="preserve"> Google Chrome.</t>
    </r>
  </si>
  <si>
    <t>1. Add product with quantity 2 
2. Click - quantity button</t>
  </si>
  <si>
    <r>
      <rPr>
        <b/>
        <sz val="11"/>
        <color theme="1"/>
        <rFont val="Calibri"/>
      </rPr>
      <t xml:space="preserve">Module: </t>
    </r>
    <r>
      <rPr>
        <sz val="11"/>
        <color theme="1"/>
        <rFont val="Calibri"/>
      </rPr>
      <t>Registration</t>
    </r>
  </si>
  <si>
    <t>Quantity 2 → 1</t>
  </si>
  <si>
    <t>Product quantity should decrease correctly.</t>
  </si>
  <si>
    <r>
      <rPr>
        <b/>
        <sz val="11"/>
        <color theme="1"/>
        <rFont val="Calibri"/>
      </rPr>
      <t>Priority:</t>
    </r>
    <r>
      <rPr>
        <sz val="11"/>
        <color theme="1"/>
        <rFont val="Calibri"/>
      </rPr>
      <t xml:space="preserve"> High | </t>
    </r>
    <r>
      <rPr>
        <b/>
        <sz val="11"/>
        <color rgb="FFFF0000"/>
        <rFont val="Calibri"/>
      </rPr>
      <t xml:space="preserve">Medium </t>
    </r>
    <r>
      <rPr>
        <sz val="11"/>
        <color theme="1"/>
        <rFont val="Calibri"/>
      </rPr>
      <t>| Low</t>
    </r>
  </si>
  <si>
    <t>Quantity decreases correctly.</t>
  </si>
  <si>
    <r>
      <rPr>
        <b/>
        <sz val="11"/>
        <color theme="1"/>
        <rFont val="Calibri"/>
      </rPr>
      <t>Severity:</t>
    </r>
    <r>
      <rPr>
        <sz val="10"/>
        <color theme="1"/>
        <rFont val="Calibri"/>
      </rPr>
      <t xml:space="preserve"> </t>
    </r>
    <r>
      <rPr>
        <sz val="11"/>
        <color theme="1"/>
        <rFont val="Calibri"/>
      </rPr>
      <t xml:space="preserve">Blocker | Critical | Major | </t>
    </r>
    <r>
      <rPr>
        <b/>
        <sz val="11"/>
        <color rgb="FFFF0000"/>
        <rFont val="Calibri"/>
      </rPr>
      <t>Minor</t>
    </r>
  </si>
  <si>
    <t>Expected: System should enforce the maximum password length if applicable.</t>
  </si>
  <si>
    <t>Actual: System take any lenght of password</t>
  </si>
  <si>
    <t>TC-96</t>
  </si>
  <si>
    <t>Minimum Quantity</t>
  </si>
  <si>
    <t>Verify that product quantity cannot be reduced below the minimum allowed quantity.</t>
  </si>
  <si>
    <t>1. Set quantity to 1 
2. Click decrease</t>
  </si>
  <si>
    <t>Quantity 1</t>
  </si>
  <si>
    <t>System should prevent quantity from going below 1</t>
  </si>
  <si>
    <t>After 1 quantity - button got disable</t>
  </si>
  <si>
    <t>TC-97</t>
  </si>
  <si>
    <t>Invalid Quantity</t>
  </si>
  <si>
    <t>Verify that invalid quantity values are handled correctly</t>
  </si>
  <si>
    <t>1. Enter invalid quantity 
2. Update cart</t>
  </si>
  <si>
    <t>0 / -1 / abc</t>
  </si>
  <si>
    <t>System should reject invalid values and display appropriate validation.</t>
  </si>
  <si>
    <t>Invalid quantity is handled correctly and show message that quantity must be equal or greater than 1</t>
  </si>
  <si>
    <t>TC-98</t>
  </si>
  <si>
    <t>Remove carted Product</t>
  </si>
  <si>
    <t>Verify that product can be removed from the shopping cart.</t>
  </si>
  <si>
    <t>1. Open Cart 
2. Click Remove</t>
  </si>
  <si>
    <t>Remove carted product</t>
  </si>
  <si>
    <t>Carted Product is removed successfully.</t>
  </si>
  <si>
    <t>TC-99</t>
  </si>
  <si>
    <t>Continue Shopping</t>
  </si>
  <si>
    <t>Verify that the Continue Shopping button works correctly</t>
  </si>
  <si>
    <t>1. Open Cart 
2. Click Continue Shopping</t>
  </si>
  <si>
    <t>Click continue shopping</t>
  </si>
  <si>
    <t>User should be redirected to the product page</t>
  </si>
  <si>
    <t>Continue Shopping works correctly. It redirects to product page</t>
  </si>
  <si>
    <t>TC-100</t>
  </si>
  <si>
    <t>Subtotal</t>
  </si>
  <si>
    <t>Verify that the product subtotal is calculated correctly.</t>
  </si>
  <si>
    <t>1. Add product 
2. Check subtotal</t>
  </si>
  <si>
    <t>Product price × quantity</t>
  </si>
  <si>
    <t>Subtotal should equal the sum of product prices multiplied by their quantities.</t>
  </si>
  <si>
    <t>Subtotal is calculated correctly.</t>
  </si>
  <si>
    <t>TC-101</t>
  </si>
  <si>
    <t>Total Price</t>
  </si>
  <si>
    <t>Verify that the total cart amount is calculated correctly.</t>
  </si>
  <si>
    <t>1. Add product 
2. Check cart total</t>
  </si>
  <si>
    <t>Total should be calculated correctly based on subtotal, discount, delivery charge and other applicable charges.</t>
  </si>
  <si>
    <t>Total is calculated correctly.</t>
  </si>
  <si>
    <t>TC-102</t>
  </si>
  <si>
    <t>Discount</t>
  </si>
  <si>
    <t>Verify that product discounts are reflected correctly in the cart.</t>
  </si>
  <si>
    <t>1. Add discounted product 
2. Check cart price</t>
  </si>
  <si>
    <t>Applicable discount should be correctly reflected in the cart amount.</t>
  </si>
  <si>
    <t>Discount is reflected correctly.</t>
  </si>
  <si>
    <t>TC-103</t>
  </si>
  <si>
    <t>Verify that the cart item count is updated correctly after adding or removing products.</t>
  </si>
  <si>
    <t>1. Add products 
2. Check cart count 
3. Remove product</t>
  </si>
  <si>
    <t>Multiple products</t>
  </si>
  <si>
    <t>Cart count should accurately reflect the number of cart items according to system design.</t>
  </si>
  <si>
    <t>Cart count updates correctly.</t>
  </si>
  <si>
    <t>TC-104</t>
  </si>
  <si>
    <t>Verify that the Checkout button redirects the user to the checkout page.</t>
  </si>
  <si>
    <t>1. Add product 2. Open Cart 3. Click Checkout</t>
  </si>
  <si>
    <t>Cart with product</t>
  </si>
  <si>
    <t>User should be redirected to the checkout process.</t>
  </si>
  <si>
    <t>Checkout page opens correctly.</t>
  </si>
  <si>
    <t>TC-105</t>
  </si>
  <si>
    <t>Cart Product</t>
  </si>
  <si>
    <t>Verify that cart items remain available after refreshing the page.</t>
  </si>
  <si>
    <t>1. Add product 
2. Open Cart 
3. Refresh page</t>
  </si>
  <si>
    <t>Added product</t>
  </si>
  <si>
    <t>Cart items should remain after page refresh according to system design.</t>
  </si>
  <si>
    <t>Cart items remain after refresh.</t>
  </si>
  <si>
    <t>TC-106</t>
  </si>
  <si>
    <t>Verify that cart items remain available after logout and login if supported.</t>
  </si>
  <si>
    <t>1. Add product 
2. Logout 
3. Login again 
4. Check Cart</t>
  </si>
  <si>
    <t>Cart should retain items according to the application's cart policy.</t>
  </si>
  <si>
    <t>Cart items are retained correctly.</t>
  </si>
  <si>
    <t>TC-107</t>
  </si>
  <si>
    <t>Payment Page</t>
  </si>
  <si>
    <t>Verify that the payment page is displayed correctly after proceeding from checkout.</t>
  </si>
  <si>
    <t>1. Add a product to cart 
2. Proceed to checkout 
3. Continue to payment</t>
  </si>
  <si>
    <t>Proceed to Checkout</t>
  </si>
  <si>
    <t>Payment page should load successfully with all available payment options.</t>
  </si>
  <si>
    <t>Payment page is displayed correctly.</t>
  </si>
  <si>
    <t>TC-108</t>
  </si>
  <si>
    <t>Payment Methods</t>
  </si>
  <si>
    <t>Verify that all available payment methods are displayed correctly.</t>
  </si>
  <si>
    <t>1. Proceed to payment page 
2. Check available payment methods</t>
  </si>
  <si>
    <t>All available payment methods should be visible and properly aligned.</t>
  </si>
  <si>
    <t>All payment methods are displayed correctly.</t>
  </si>
  <si>
    <t>TC-109</t>
  </si>
  <si>
    <t>Payment Method Selection</t>
  </si>
  <si>
    <t>Verify that the user can select an available payment method.</t>
  </si>
  <si>
    <t>1. Go to payment page 
2. Select a payment method</t>
  </si>
  <si>
    <t>Select any payment method</t>
  </si>
  <si>
    <t>User should be able to select the desired payment method.</t>
  </si>
  <si>
    <t>Payment method can be selected successfully.</t>
  </si>
  <si>
    <t>TC-110</t>
  </si>
  <si>
    <t>Selected Payment Method</t>
  </si>
  <si>
    <t>Verify that the selected payment method remains selected.</t>
  </si>
  <si>
    <t>1. Open payment page 
2. Select a payment method 
3. Check selection</t>
  </si>
  <si>
    <t>Select payment method</t>
  </si>
  <si>
    <t>The selected payment method should remain highlighted/selected.</t>
  </si>
  <si>
    <t>Selected payment method remains selected.</t>
  </si>
  <si>
    <t>TC-111</t>
  </si>
  <si>
    <t>Payment Amount</t>
  </si>
  <si>
    <t>Verify that the total payable amount is displayed correctly on the payment page.</t>
  </si>
  <si>
    <t>1. Add product to cart 
2. Proceed to checkout 
3. Go to payment page 
4. Check amount</t>
  </si>
  <si>
    <t>Go to Payment Page</t>
  </si>
  <si>
    <t>Payment amount should match the final order amount.</t>
  </si>
  <si>
    <t>Payment amount is displayed correctly.</t>
  </si>
  <si>
    <t>TC-112</t>
  </si>
  <si>
    <t>Cash on Delivery</t>
  </si>
  <si>
    <t>Verify that the Cash on Delivery payment option works correctly.</t>
  </si>
  <si>
    <t>1. Go to payment page 
2. Select Cash on Delivery 
3. Continue</t>
  </si>
  <si>
    <t>COD</t>
  </si>
  <si>
    <t>User should be able to select Cash on Delivery and proceed with the order.</t>
  </si>
  <si>
    <t>Cash on Delivery option works correctly.</t>
  </si>
  <si>
    <t>TC-113</t>
  </si>
  <si>
    <t>Online Payment</t>
  </si>
  <si>
    <t>Verify that the user can proceed with an online payment method.</t>
  </si>
  <si>
    <t>1. Go to payment page 
2. Select online payment 
3. Continue</t>
  </si>
  <si>
    <t>Select online payment method</t>
  </si>
  <si>
    <t>User should be redirected to the appropriate online payment gateway.</t>
  </si>
  <si>
    <t>User is redirected to the payment gateway.</t>
  </si>
  <si>
    <t>TC-114</t>
  </si>
  <si>
    <t>Payment Gateway</t>
  </si>
  <si>
    <t>Verify that the selected payment gateway opens correctly.</t>
  </si>
  <si>
    <t>1. Select online payment 
2. Continue to payment gateway</t>
  </si>
  <si>
    <t>Available payment gateway</t>
  </si>
  <si>
    <t>Selected payment gateway should open successfully without errors.</t>
  </si>
  <si>
    <t>Payment gateway opens successfully.</t>
  </si>
  <si>
    <t>TC-115</t>
  </si>
  <si>
    <t>Invalid Payment Details</t>
  </si>
  <si>
    <t>Verify that invalid payment details are rejected.</t>
  </si>
  <si>
    <t>1. Open payment gateway 
2. Enter invalid details 
3. Submit payment</t>
  </si>
  <si>
    <t>Invalid payment information</t>
  </si>
  <si>
    <t>System should display an appropriate validation or error message.</t>
  </si>
  <si>
    <t>Invalid payment details are rejected.</t>
  </si>
  <si>
    <t>TC-116</t>
  </si>
  <si>
    <t>Successful Payment</t>
  </si>
  <si>
    <t>Verify that successful payment completes the order successfully.</t>
  </si>
  <si>
    <t>1. Select payment method 
2. Enter valid details 
3. Complete payment</t>
  </si>
  <si>
    <t>Valid payment details</t>
  </si>
  <si>
    <t>Payment should be completed and the order should be created successfully.</t>
  </si>
  <si>
    <t>Payment completed and order created successfully.</t>
  </si>
  <si>
    <t>TC-117</t>
  </si>
  <si>
    <t>Failed Payment</t>
  </si>
  <si>
    <t>Verify that a failed payment displays an appropriate error message.</t>
  </si>
  <si>
    <t>1. Start payment 
2. Cause payment failure 
3. Check response</t>
  </si>
  <si>
    <t>Pending transaction</t>
  </si>
  <si>
    <t>System should display a proper payment failure message and should not mark the order as paid.</t>
  </si>
  <si>
    <t>Payment failure message is displayed correctly.</t>
  </si>
  <si>
    <t>TC-118</t>
  </si>
  <si>
    <t>Cancelled Payment</t>
  </si>
  <si>
    <t>Verify that cancelling a payment is handled correctly.</t>
  </si>
  <si>
    <t>1. Start payment 
2. Cancel the payment 
3. Check order/payment status</t>
  </si>
  <si>
    <t>Cancel payment</t>
  </si>
  <si>
    <t>User should be returned to the appropriate page and the order should not be marked as paid.</t>
  </si>
  <si>
    <t>Cancelled payment is handled correctly.</t>
  </si>
  <si>
    <t>TC-119</t>
  </si>
  <si>
    <t>Payment Retry</t>
  </si>
  <si>
    <t>Verify that the user can retry payment after a failed transaction.</t>
  </si>
  <si>
    <t>1. Make a payment fail 
2. Select Retry Payment 
3. Try again</t>
  </si>
  <si>
    <t>Failed payment</t>
  </si>
  <si>
    <t>User should be able to retry the payment successfully.</t>
  </si>
  <si>
    <t>Payment retry option works correctly.</t>
  </si>
  <si>
    <t>TC-120</t>
  </si>
  <si>
    <t>Order ID</t>
  </si>
  <si>
    <t>Verify that an order ID is generated after successful payment.</t>
  </si>
  <si>
    <t>1. Complete payment 
2. Check order confirmation page</t>
  </si>
  <si>
    <t>Successful payment</t>
  </si>
  <si>
    <t>A unique order ID should be generated for the successfully placed order.</t>
  </si>
  <si>
    <t>Order ID is generated successfully.</t>
  </si>
  <si>
    <t>TC-121</t>
  </si>
  <si>
    <t>Payment Status</t>
  </si>
  <si>
    <t>Verify that the payment status is updated correctly after successful payment.</t>
  </si>
  <si>
    <t>1. Complete payment  
2. Open order details 
3. Check payment status</t>
  </si>
  <si>
    <t>Payment status should be shown as Paid/Successful.</t>
  </si>
  <si>
    <t>Payment status is shown correctly.</t>
  </si>
  <si>
    <t>TC-122</t>
  </si>
  <si>
    <t>Payment Status After Failed Payment</t>
  </si>
  <si>
    <t>Verify that a failed payment does not mark the order as successfully paid.</t>
  </si>
  <si>
    <t>1. Attempt payment 
2. Make payment fail 
3. Check order status</t>
  </si>
  <si>
    <t>Order payment status should remain unpaid/failed after unsuccessful payment.</t>
  </si>
  <si>
    <t>Payment status remains unpaid/failed.</t>
  </si>
  <si>
    <t>TC-123</t>
  </si>
  <si>
    <t>Payment Amount with Discount</t>
  </si>
  <si>
    <t>Verify that the payment amount is calculated correctly after applying a discount.</t>
  </si>
  <si>
    <t>1. Add discounted product 
2. Proceed to checkout 
3. Check payment amount</t>
  </si>
  <si>
    <t>Final payable amount should reflect the applicable discount.</t>
  </si>
  <si>
    <t>Discount is reflected correctly in payment amount.</t>
  </si>
  <si>
    <t>TC-124</t>
  </si>
  <si>
    <t>Delivery Charge</t>
  </si>
  <si>
    <t>Verify that the delivery charge is included correctly in the final payment amount.</t>
  </si>
  <si>
    <t>1. Add product 
2. Proceed to checkout 
3. Select delivery option 
4. Check total</t>
  </si>
  <si>
    <t>Available delivery option</t>
  </si>
  <si>
    <t>Applicable delivery charge should be included in the total payable amount.</t>
  </si>
  <si>
    <t>Delivery charge is included correctly.</t>
  </si>
  <si>
    <t>TC-125</t>
  </si>
  <si>
    <t>Back Button</t>
  </si>
  <si>
    <t>Verify that using the browser back button during payment is handled correctly.</t>
  </si>
  <si>
    <t>1. Start payment 
2. Click browser Back button 
3. Check page/order status</t>
  </si>
  <si>
    <t>Existing payment</t>
  </si>
  <si>
    <t>System should handle navigation safely without creating duplicate transactions.</t>
  </si>
  <si>
    <t>Back navigation works correctly.</t>
  </si>
  <si>
    <t>TC-126</t>
  </si>
  <si>
    <t>Verify that an order confirmation message is displayed after placing an order.</t>
  </si>
  <si>
    <t>1. Complete checkout 
2. Place order 
3. Check confirmation message</t>
  </si>
  <si>
    <t>Successful order</t>
  </si>
  <si>
    <t>Order confirmation message should be displayed after successful order placement.</t>
  </si>
  <si>
    <t>Order confirmation message is displayed.</t>
  </si>
  <si>
    <t>TC-127</t>
  </si>
  <si>
    <t>Verify that a unique order ID is generated after placing an order.</t>
  </si>
  <si>
    <t>1. Place an order 
2. Check order confirmation page</t>
  </si>
  <si>
    <t>A unique order ID should be generated for each successful order.</t>
  </si>
  <si>
    <t>Unique order ID is generated.</t>
  </si>
  <si>
    <t>TC-128</t>
  </si>
  <si>
    <t>Order Summary</t>
  </si>
  <si>
    <t>Verify that the order summary is displayed correctly after placing an order.</t>
  </si>
  <si>
    <t>1. Place an order 
2. Check order summary</t>
  </si>
  <si>
    <t>Valid order</t>
  </si>
  <si>
    <t>Order summary should display product, quantity, price, delivery charge and total amount correctly.</t>
  </si>
  <si>
    <t>Order summary is displayed correctly.</t>
  </si>
  <si>
    <t>TC-129</t>
  </si>
  <si>
    <t>Verify that the ordered product information is displayed correctly in the order confirmation.</t>
  </si>
  <si>
    <t>1. Add product to cart 
2. Place order 
3. Check confirmation</t>
  </si>
  <si>
    <t>Ordered product name, image, quantity and price should be correct.</t>
  </si>
  <si>
    <t>TC-130</t>
  </si>
  <si>
    <t>Quantity</t>
  </si>
  <si>
    <t>Verify that the ordered product quantity is displayed correctly after placing the order.</t>
  </si>
  <si>
    <t>1. Add product to cart 
2. Change quantity to 2 
3. Place order 
4. Check order details</t>
  </si>
  <si>
    <t>Quantity: 2</t>
  </si>
  <si>
    <t>Order confirmation should show the exact quantity selected by the user.</t>
  </si>
  <si>
    <t>Quantity is displayed correctly.</t>
  </si>
  <si>
    <t>TC-131</t>
  </si>
  <si>
    <t>Customer Information</t>
  </si>
  <si>
    <t>Verify that the customer information is displayed correctly in the order confirmation.</t>
  </si>
  <si>
    <t>1. Enter customer information 
2. Place order 
3. Check confirmation details</t>
  </si>
  <si>
    <t>Valid customer details</t>
  </si>
  <si>
    <t>Customer name and contact information should match the information provided during checkout.</t>
  </si>
  <si>
    <t>Customer information is displayed correctly.</t>
  </si>
  <si>
    <t>TC-132</t>
  </si>
  <si>
    <t>Shipping Address</t>
  </si>
  <si>
    <t>Verify that the selected shipping address is displayed correctly after placing the order.</t>
  </si>
  <si>
    <t>1. Select shipping address 
2. Place order 
3. Check order details</t>
  </si>
  <si>
    <t>Valid shipping address</t>
  </si>
  <si>
    <t>The selected shipping address should be displayed correctly.</t>
  </si>
  <si>
    <t>Shipping address is displayed correctly.</t>
  </si>
  <si>
    <t>TC-133</t>
  </si>
  <si>
    <t>Payment Method</t>
  </si>
  <si>
    <t>Verify that the selected payment method is displayed correctly in the order details.</t>
  </si>
  <si>
    <t>1. Select payment method 
2. Complete order 
3. Check order details</t>
  </si>
  <si>
    <t>Available payment method</t>
  </si>
  <si>
    <t>The payment method used for the order should be displayed correctly.</t>
  </si>
  <si>
    <t>Payment method is displayed correctly.</t>
  </si>
  <si>
    <t>TC-134</t>
  </si>
  <si>
    <t>Verify that the newly placed order appears in the user's order history.</t>
  </si>
  <si>
    <t>1. Place an order 
2. Go to Dashboard
3. Open Order History</t>
  </si>
  <si>
    <t>New order should be listed in the user's order history.</t>
  </si>
  <si>
    <t>New order appears in order history.</t>
  </si>
  <si>
    <t>TC-135</t>
  </si>
  <si>
    <t>Order Details</t>
  </si>
  <si>
    <t>Verify that the user can view the details of a successfully placed order.</t>
  </si>
  <si>
    <t>1. Place an order 
2. Open Order History 
3. Click the order</t>
  </si>
  <si>
    <t>User should be able to open and view complete order details.</t>
  </si>
  <si>
    <t>Order details are displayed correctly.</t>
  </si>
  <si>
    <t>TC-136</t>
  </si>
  <si>
    <t>Verify that the user cannot place an order for an out-of-stock product.</t>
  </si>
  <si>
    <t>1. Select an out-of-stock product 
2. Try to place the order</t>
  </si>
  <si>
    <t>Out-of-stock product</t>
  </si>
  <si>
    <t>System should prevent the order or display an appropriate out-of-stock message.</t>
  </si>
  <si>
    <t>Out-of-stock product cannot be ordered.</t>
  </si>
  <si>
    <t>TC-137</t>
  </si>
  <si>
    <t>Invalid Address</t>
  </si>
  <si>
    <t>Verify that the order cannot be placed when the required shipping address is invalid or incomplete.</t>
  </si>
  <si>
    <t>1. Proceed to checkout 
2. Enter incomplete address 
3. Try to place order</t>
  </si>
  <si>
    <t>Incomplete address</t>
  </si>
  <si>
    <t>System should display an appropriate validation message and prevent order placement.</t>
  </si>
  <si>
    <t>Validation message is displayed.</t>
  </si>
  <si>
    <t>TC-138</t>
  </si>
  <si>
    <t>Multiple Submission</t>
  </si>
  <si>
    <t>Verify that repeatedly clicking the Place Order button does not create duplicate orders.</t>
  </si>
  <si>
    <t>1. Complete checkout 
2. Click Place Order multiple times quickly 
3. Check Order History</t>
  </si>
  <si>
    <t>Only one order should be created for a single purchase.</t>
  </si>
  <si>
    <t>Only one order is created.</t>
  </si>
  <si>
    <t>TC-139</t>
  </si>
  <si>
    <t>Order Confirmation Notification</t>
  </si>
  <si>
    <t>Verify that the user receives an order confirmation notification after successfully placing an order.</t>
  </si>
  <si>
    <t>1. Place an order 
2. Check notification SMS if applicable</t>
  </si>
  <si>
    <t>User should receive an appropriate order confirmation notification.</t>
  </si>
  <si>
    <t>Order confirmation notification is received.</t>
  </si>
  <si>
    <t>TC-140</t>
  </si>
  <si>
    <t>Order availability</t>
  </si>
  <si>
    <t>Verify that the placed order remains available after refreshing or reopening the account.</t>
  </si>
  <si>
    <t>1. Place an order 
2. Refresh page 
3. Open Order History 
4. Check order</t>
  </si>
  <si>
    <t>Order information should remain available after refresh or reopening the account.</t>
  </si>
  <si>
    <t>Order remains available.</t>
  </si>
  <si>
    <t>TC-141</t>
  </si>
  <si>
    <t>Mobile Order Placement</t>
  </si>
  <si>
    <t>Verify that the user can successfully place an order using a mobile device.</t>
  </si>
  <si>
    <t>1. Open website on mobile 
2. Add product 
3. Checkout 
4. Place order</t>
  </si>
  <si>
    <t>Order placement should work correctly on mobile without layout or functional issues.</t>
  </si>
  <si>
    <t>Order placement works correctly on mobile.</t>
  </si>
  <si>
    <t>TC-142</t>
  </si>
  <si>
    <t>Desktop Order Placement</t>
  </si>
  <si>
    <t>Verify that the user can successfully place an order using a desktop device.</t>
  </si>
  <si>
    <t>1. Open website on desktop 
2. Add product 
3. Checkout 
4. Place order</t>
  </si>
  <si>
    <t>Order placement should work correctly on desktop without layout or functional issues.</t>
  </si>
  <si>
    <t>Order placement works correctly on desktop.</t>
  </si>
  <si>
    <t>TC-143</t>
  </si>
  <si>
    <t>Order Tracking Option</t>
  </si>
  <si>
    <t>Verify that the Track Order option is available for placed orders.</t>
  </si>
  <si>
    <t>1. Login 
2. Go to My Orders 
3. Check order options</t>
  </si>
  <si>
    <t>Placed order</t>
  </si>
  <si>
    <t>Track Order option should be displayed.</t>
  </si>
  <si>
    <t>Track Order option is displayed.</t>
  </si>
  <si>
    <t>TC-144</t>
  </si>
  <si>
    <t>Order Timeline</t>
  </si>
  <si>
    <t>Verify that the order tracking timeline is displayed.</t>
  </si>
  <si>
    <t>1. Open order tracking 
2. Check timeline</t>
  </si>
  <si>
    <t>Placed → Processing → Shipped → Delivered</t>
  </si>
  <si>
    <t>Order timeline should be displayed properly.</t>
  </si>
  <si>
    <t>Order timeline is displayed properly.</t>
  </si>
  <si>
    <t>TC-145</t>
  </si>
  <si>
    <t>Order Shipped Status</t>
  </si>
  <si>
    <t>Verify that Shipped status is displayed after the order is shipped.</t>
  </si>
  <si>
    <t>1. Open tracking 
2. Check order status</t>
  </si>
  <si>
    <t>Shipped order</t>
  </si>
  <si>
    <t>Shipped status should be displayed.</t>
  </si>
  <si>
    <t>Shipped status is displayed.</t>
  </si>
  <si>
    <t>TC-146</t>
  </si>
  <si>
    <t>Order Delivered Status</t>
  </si>
  <si>
    <t>Verify that Delivered status is displayed after successful delivery.</t>
  </si>
  <si>
    <t>Delivered order</t>
  </si>
  <si>
    <t>Delivered status should be displayed.</t>
  </si>
  <si>
    <t>Delivered status is displayed.</t>
  </si>
  <si>
    <t>TC-147</t>
  </si>
  <si>
    <t>Delivery Date</t>
  </si>
  <si>
    <t>Verify that the expected delivery date is displayed.</t>
  </si>
  <si>
    <t>1. Open order tracking 
2. Check delivery information</t>
  </si>
  <si>
    <t>Delivery date</t>
  </si>
  <si>
    <t>Expected delivery date should be displayed correctly.</t>
  </si>
  <si>
    <t>Expected delivery date is displayed correctly.</t>
  </si>
  <si>
    <t>TC-148</t>
  </si>
  <si>
    <t>Shipping Information</t>
  </si>
  <si>
    <t>Verify that shipping information is displayed correctly.</t>
  </si>
  <si>
    <t>1. Open order tracking 
2. Check shipping information</t>
  </si>
  <si>
    <t>Shipping address</t>
  </si>
  <si>
    <t>Shipping information should be displayed correctly.</t>
  </si>
  <si>
    <t>Shipping information is displayed correctly.</t>
  </si>
  <si>
    <t>TC-149</t>
  </si>
  <si>
    <t>Tracking Number</t>
  </si>
  <si>
    <t>Verify that the tracking number is displayed when available.</t>
  </si>
  <si>
    <t>1. Open shipped order 
2. Check tracking number</t>
  </si>
  <si>
    <t>TRK123456</t>
  </si>
  <si>
    <t>Tracking number should be displayed.</t>
  </si>
  <si>
    <t>Tracking number is displayed.</t>
  </si>
  <si>
    <t>TC-150</t>
  </si>
  <si>
    <t>Courier Information</t>
  </si>
  <si>
    <t>Verify that courier information is displayed for shipped orders.</t>
  </si>
  <si>
    <t>1. Open shipped order 
2. Check courier information</t>
  </si>
  <si>
    <t>Courier: XYZ Courier</t>
  </si>
  <si>
    <t>Courier information should be displayed correctly.</t>
  </si>
  <si>
    <t>Courier information is displayed correctly.</t>
  </si>
  <si>
    <t>TC-151</t>
  </si>
  <si>
    <t>Tracking Link</t>
  </si>
  <si>
    <t>Verify that the tracking link works correctly.</t>
  </si>
  <si>
    <t>1. Open shipped order 
2. Click tracking link</t>
  </si>
  <si>
    <t>Valid tracking link</t>
  </si>
  <si>
    <t>Tracking link should open the tracking information.</t>
  </si>
  <si>
    <t>Tracking link opens successfully.</t>
  </si>
  <si>
    <t>TC-152</t>
  </si>
  <si>
    <t>Invalid Order ID</t>
  </si>
  <si>
    <t>Verify that tracking cannot be accessed using an invalid Order ID.</t>
  </si>
  <si>
    <t>1. Open tracking 
2. Enter invalid Order ID 
3. Submit</t>
  </si>
  <si>
    <t>Order ID: INVALID123</t>
  </si>
  <si>
    <t>An appropriate error message should be displayed.</t>
  </si>
  <si>
    <t>Error message is displayed.</t>
  </si>
  <si>
    <t>TC-153</t>
  </si>
  <si>
    <t>Unregistered Order</t>
  </si>
  <si>
    <t>Verify that an order belonging to another user cannot be tracked from the user's account.</t>
  </si>
  <si>
    <t>1. Login with User A 
2. Try to access User B order</t>
  </si>
  <si>
    <t>Another user's Order ID</t>
  </si>
  <si>
    <t>Unauthorized order information should not be displayed.</t>
  </si>
  <si>
    <t>Unauthorized order information is not displayed.</t>
  </si>
  <si>
    <t>TC-154</t>
  </si>
  <si>
    <t>Mobile Tracking</t>
  </si>
  <si>
    <t>Verify that order tracking works correctly on mobile devices.</t>
  </si>
  <si>
    <t>1. Open website on mobile 
2. Login 
3. Open order tracking</t>
  </si>
  <si>
    <t>Android mobile</t>
  </si>
  <si>
    <t>Order tracking page should work properly on mobile devices.</t>
  </si>
  <si>
    <t>Order tracking works properly on mobile.</t>
  </si>
  <si>
    <t>TC-155</t>
  </si>
  <si>
    <t>Verify that the correct product name is displayed.</t>
  </si>
  <si>
    <t>1. Open product details 
2. Check product name</t>
  </si>
  <si>
    <t>Product: T-Shirt</t>
  </si>
  <si>
    <t>Correct product name should be displayed.</t>
  </si>
  <si>
    <t>Correct product name is displayed.</t>
  </si>
  <si>
    <t>TC-156</t>
  </si>
  <si>
    <t>Verify that the product image is displayed correctly.</t>
  </si>
  <si>
    <t>1. Open product details 
2. Check product image</t>
  </si>
  <si>
    <t>Product image</t>
  </si>
  <si>
    <t>Product image should be displayed clearly.</t>
  </si>
  <si>
    <t>Product image is displayed correctly.</t>
  </si>
  <si>
    <t>TC-157</t>
  </si>
  <si>
    <t>Image Gallery</t>
  </si>
  <si>
    <t>Verify that multiple product images can be viewed.</t>
  </si>
  <si>
    <t>1. Open product details 
2. Click different product images</t>
  </si>
  <si>
    <t>Multiple images</t>
  </si>
  <si>
    <t>User should be able to view available product images.</t>
  </si>
  <si>
    <t>Multiple product images are displayed.</t>
  </si>
  <si>
    <t>TC-158</t>
  </si>
  <si>
    <t>Image Zoom</t>
  </si>
  <si>
    <t>Verify that the product image can be zoomed.</t>
  </si>
  <si>
    <t>1. Open product details 
2. Hover on image 
3. Check zoom</t>
  </si>
  <si>
    <t>Product image should zoom correctly.</t>
  </si>
  <si>
    <t>Product image zooms successfully.</t>
  </si>
  <si>
    <t>TC-159</t>
  </si>
  <si>
    <t>Verify that the correct product price is displayed.</t>
  </si>
  <si>
    <t>1. Open product details 
2. Check price</t>
  </si>
  <si>
    <t>Price: TK 1000</t>
  </si>
  <si>
    <t>Correct product price should be displayed.</t>
  </si>
  <si>
    <t>Product price is displayed correctly.</t>
  </si>
  <si>
    <t>TC-160</t>
  </si>
  <si>
    <t>Verify that the discounted price is displayed correctly for discounted products.</t>
  </si>
  <si>
    <t>1. Open discounted product 
2. Check prices</t>
  </si>
  <si>
    <r>
      <rPr>
        <sz val="11"/>
        <color rgb="FF000000"/>
        <rFont val="Arial"/>
      </rPr>
      <t>Regular: ৳</t>
    </r>
    <r>
      <rPr>
        <strike/>
        <sz val="11"/>
        <color rgb="FF000000"/>
        <rFont val="Arial"/>
      </rPr>
      <t>1200</t>
    </r>
    <r>
      <rPr>
        <sz val="11"/>
        <color rgb="FF000000"/>
        <rFont val="Arial"/>
      </rPr>
      <t>, Discount: ৳1000</t>
    </r>
  </si>
  <si>
    <t>Discounted price should be displayed correctly.</t>
  </si>
  <si>
    <t>TC-161</t>
  </si>
  <si>
    <t>Discount Percentage</t>
  </si>
  <si>
    <t>Verify that the applicable discount percentage is displayed correctly.</t>
  </si>
  <si>
    <t>1. Open discounted product 
2. Check discount percentage</t>
  </si>
  <si>
    <t>Discount: 20% OFF</t>
  </si>
  <si>
    <t>Correct discount percentage should be displayed.</t>
  </si>
  <si>
    <t>Discount percentage is displayed correctly.</t>
  </si>
  <si>
    <t>TC-162</t>
  </si>
  <si>
    <t>Product Description</t>
  </si>
  <si>
    <t>Verify that the product description is displayed correctly.</t>
  </si>
  <si>
    <t>1. Open product details 
2. Scroll to description</t>
  </si>
  <si>
    <t>Product description</t>
  </si>
  <si>
    <t>Product description should be displayed completely and correctly.</t>
  </si>
  <si>
    <t>Product description is displayed correctly.</t>
  </si>
  <si>
    <t>TC-163</t>
  </si>
  <si>
    <t>Product Specification</t>
  </si>
  <si>
    <t>Verify that product specifications are displayed correctly.</t>
  </si>
  <si>
    <t>1. Open product details 
2. Check specifications</t>
  </si>
  <si>
    <t>Size, Color, Material</t>
  </si>
  <si>
    <t>Product specifications should be displayed correctly.</t>
  </si>
  <si>
    <t>Product specifications are displayed correctly.</t>
  </si>
  <si>
    <t>TC-164</t>
  </si>
  <si>
    <t>Validation</t>
  </si>
  <si>
    <t>Quantity Limit</t>
  </si>
  <si>
    <t>Verify that quantity cannot exceed the available stock.</t>
  </si>
  <si>
    <t>1. Open product 
2. Increase quantity above 10</t>
  </si>
  <si>
    <t>Stock: 10</t>
  </si>
  <si>
    <t>Quantity should not exceed available stock.</t>
  </si>
  <si>
    <t>Quantity is restricted according to stock.</t>
  </si>
  <si>
    <t>TC-165</t>
  </si>
  <si>
    <t>Product Variant</t>
  </si>
  <si>
    <t>Verify that available product variants can be selected.</t>
  </si>
  <si>
    <t>1. Open product 
2. Select color/variant</t>
  </si>
  <si>
    <t>Color: Black</t>
  </si>
  <si>
    <t>User should be able to select available variants.</t>
  </si>
  <si>
    <t>Variant is selected successfully.</t>
  </si>
  <si>
    <t>TC-166</t>
  </si>
  <si>
    <t>Size Selection</t>
  </si>
  <si>
    <t>Verify that the available product size can be selected.</t>
  </si>
  <si>
    <t>1. Open product 
2. Select size L</t>
  </si>
  <si>
    <t>Size: L</t>
  </si>
  <si>
    <t>Selected size should be highlighted correctly.</t>
  </si>
  <si>
    <t>Size is selected successfully.</t>
  </si>
  <si>
    <t>TC-167</t>
  </si>
  <si>
    <t>Related Products</t>
  </si>
  <si>
    <t>Verify that related products are displayed on the product details page.</t>
  </si>
  <si>
    <t>1. Open product details 
2. Scroll to related products</t>
  </si>
  <si>
    <t>Related products</t>
  </si>
  <si>
    <t>Relevant related products should be displayed.</t>
  </si>
  <si>
    <t>Related products are displayed.</t>
  </si>
  <si>
    <t>TC-168</t>
  </si>
  <si>
    <t>Invalid Product URL</t>
  </si>
  <si>
    <t>Verify that the system handles an invalid product URL correctly.</t>
  </si>
  <si>
    <t>1. Open website 
2. Enter invalid product URL 
3. Press Enter</t>
  </si>
  <si>
    <t>https://othoba.com/invalid-product</t>
  </si>
  <si>
    <t>System should display a proper error message</t>
  </si>
  <si>
    <t>System Shows this product is not available now message</t>
  </si>
  <si>
    <t>-</t>
  </si>
  <si>
    <t>TC-169</t>
  </si>
  <si>
    <t>Non-existing Product</t>
  </si>
  <si>
    <t>Verify that a non-existing product cannot be accessed.</t>
  </si>
  <si>
    <t>1. Open product URL 
2. Enter non-existing product ID 
3. Check response</t>
  </si>
  <si>
    <t>Product ID: 999999999</t>
  </si>
  <si>
    <t>System should display a proper product not found message.</t>
  </si>
  <si>
    <t>TC-170</t>
  </si>
  <si>
    <t>Verify that the system prevents entering an invalid quantity such as zero.</t>
  </si>
  <si>
    <t>1. Open product 
2. Enter quantity 0</t>
  </si>
  <si>
    <t>Quantity: 0</t>
  </si>
  <si>
    <t>Quantity should not accept zero.</t>
  </si>
  <si>
    <t>System shows message quantity should positive</t>
  </si>
  <si>
    <t>TC-171</t>
  </si>
  <si>
    <t>Negative Quantity</t>
  </si>
  <si>
    <t>Verify that negative quantity cannot be entered.</t>
  </si>
  <si>
    <t>1. Open product 
2. Enter -1 as quantity 
3. Click Add to Cart</t>
  </si>
  <si>
    <t>Quantity: -1</t>
  </si>
  <si>
    <t>System should reject negative quantity.</t>
  </si>
  <si>
    <t>TC-172</t>
  </si>
  <si>
    <t>Special Characters in Quantity</t>
  </si>
  <si>
    <t>Verify that special characters cannot be entered in the quantity field.</t>
  </si>
  <si>
    <t>1. Open product 
2. Enter special characters in quantity 
3. Check validation</t>
  </si>
  <si>
    <t>Quantity: @#$%</t>
  </si>
  <si>
    <t>Quantity field should reject non-numeric characters.</t>
  </si>
  <si>
    <t>TC-173</t>
  </si>
  <si>
    <t>Text in Quantity</t>
  </si>
  <si>
    <t>Verify that alphabetic characters cannot be entered in the quantity field.</t>
  </si>
  <si>
    <t>1. Open product 
2. Enter ABC in quantity field 
3. Check validation</t>
  </si>
  <si>
    <t>Quantity: ABC</t>
  </si>
  <si>
    <t>Quantity field should accept numeric values only.</t>
  </si>
  <si>
    <t>TC-174</t>
  </si>
  <si>
    <t>Price Change During Checkout</t>
  </si>
  <si>
    <t>Verify that the system handles a product price change after adding the product to Cart.</t>
  </si>
  <si>
    <t>1. Add product to Cart 
2. Change product price 
3. Open Cart/Checkout</t>
  </si>
  <si>
    <t>Changed product price</t>
  </si>
  <si>
    <t>User should be informed about the updated price before payment.</t>
  </si>
  <si>
    <t>Yes there shows product price including delivery charge before payment</t>
  </si>
  <si>
    <t>TC-175</t>
  </si>
  <si>
    <t>Stock Change During Purchase</t>
  </si>
  <si>
    <t>Verify that the system handles stock reduction after the product has been added to Cart.</t>
  </si>
  <si>
    <t>1. Add product to Cart 
2. Reduce stock 
3. Proceed to checkout</t>
  </si>
  <si>
    <t>Stock reduced after adding</t>
  </si>
  <si>
    <t>System should prevent purchasing more than the available stock.</t>
  </si>
  <si>
    <t>After add to cart system prevent to add product more than available stock</t>
  </si>
  <si>
    <t>TC-176</t>
  </si>
  <si>
    <t>Security</t>
  </si>
  <si>
    <t>Script Injection</t>
  </si>
  <si>
    <t>Verify that malicious script input cannot be executed through product-related input fields.</t>
  </si>
  <si>
    <t>1. Enter script into available input field 
2. Submit 
3. Check whether script executes</t>
  </si>
  <si>
    <t>&lt;script&gt;alert(1)&lt;/script&gt;</t>
  </si>
  <si>
    <t>Input should be sanitized and script should not execute.</t>
  </si>
  <si>
    <t>System shows message Data not found</t>
  </si>
  <si>
    <t>TC-177</t>
  </si>
  <si>
    <t>HTML Injection</t>
  </si>
  <si>
    <t>Verify that HTML code cannot be injected into product-related input fields.</t>
  </si>
  <si>
    <t>1. Enter HTML code 
2. Submit 
3. Check displayed result</t>
  </si>
  <si>
    <t>&lt;b&gt;Test&lt;/b&gt;</t>
  </si>
  <si>
    <t>HTML code should be treated as plain text or rejected.</t>
  </si>
  <si>
    <t>TC-178</t>
  </si>
  <si>
    <t>Image Loading Failure</t>
  </si>
  <si>
    <t>Verify that product information remains usable when an image fails to load.</t>
  </si>
  <si>
    <t>1. Open product 
2. Block image request 
3. Check page</t>
  </si>
  <si>
    <t>Blocked image</t>
  </si>
  <si>
    <t>Product details should remain accessible even if an image fails.</t>
  </si>
  <si>
    <t>Product details visible if product image failed to load</t>
  </si>
  <si>
    <t>TC-179</t>
  </si>
  <si>
    <t>Browser Back After Purchase</t>
  </si>
  <si>
    <t>Verify that using the browser Back button after initiating a purchase does not create duplicate transactions.</t>
  </si>
  <si>
    <t>1. Click Buy Now 
2. Go to checkout 
3. Press browser Back 
4. Continue again</t>
  </si>
  <si>
    <t>Valid product</t>
  </si>
  <si>
    <t>System should not create duplicate purchase requests.</t>
  </si>
  <si>
    <t>System does not create duplicate purchase</t>
  </si>
  <si>
    <t>TC-180</t>
  </si>
  <si>
    <t>Long Product Name</t>
  </si>
  <si>
    <t>Verify that a very long product name does not break the page layout.</t>
  </si>
  <si>
    <t>1. Open product with long name 
2. Check product title area</t>
  </si>
  <si>
    <t>Long product name</t>
  </si>
  <si>
    <t>Long product name should be displayed without overlapping or breaking the layout.</t>
  </si>
  <si>
    <t>Long product name shows different line</t>
  </si>
  <si>
    <t>TC-181</t>
  </si>
  <si>
    <t>Phone Required</t>
  </si>
  <si>
    <t>Verify that registration cannot be completed without entering a phone number.</t>
  </si>
  <si>
    <t>1. Open Register page 
2. Leave Phone empty 
3. Fill other required fields 
4. Click Register</t>
  </si>
  <si>
    <t>Phone: Empty</t>
  </si>
  <si>
    <t>Phone field should show a required field validation message.</t>
  </si>
  <si>
    <t>Yes Phone number is required</t>
  </si>
  <si>
    <t>TC-182</t>
  </si>
  <si>
    <t>Invalid Phone Format</t>
  </si>
  <si>
    <t>Verify that an invalid phone number format is rejected.</t>
  </si>
  <si>
    <t>1. Enter invalid phone number 
2. Fill other required fields 
3. Click Register</t>
  </si>
  <si>
    <t>Phone: 12345</t>
  </si>
  <si>
    <t>System should display an appropriate phone number validation message.</t>
  </si>
  <si>
    <t>System said phone number is not provided</t>
  </si>
  <si>
    <t>TC-183</t>
  </si>
  <si>
    <t>Special Character Phone</t>
  </si>
  <si>
    <t>Verify that invalid special characters are rejected from the Phone field.</t>
  </si>
  <si>
    <t>1. Enter special characters in Phone field 
2. Check validation</t>
  </si>
  <si>
    <t>Phone: @#$%</t>
  </si>
  <si>
    <t>System should reject invalid phone number characters.</t>
  </si>
  <si>
    <t>TC-184</t>
  </si>
  <si>
    <t>Duplicate Phone</t>
  </si>
  <si>
    <t>Verify that registration cannot be completed using an already registered phone number.</t>
  </si>
  <si>
    <t>1. Enter an already registered phone 
2. Fill remaining fields 
3. Click Register</t>
  </si>
  <si>
    <t>Previous registered phone number</t>
  </si>
  <si>
    <t>System should display an appropriate duplicate account message.</t>
  </si>
  <si>
    <t>System says Sorry! This PhoneNumber is already registered.</t>
  </si>
  <si>
    <t>TC-185</t>
  </si>
  <si>
    <t>Email Without Domain</t>
  </si>
  <si>
    <t>Verify that an email address without a valid domain is rejected.</t>
  </si>
  <si>
    <t>1. Enter invalid email 
2. Fill required fields 
3. Click Register</t>
  </si>
  <si>
    <t>Email: test@gmail</t>
  </si>
  <si>
    <t>System should reject the invalid email address.</t>
  </si>
  <si>
    <t>System dosn't registered but no invalid message shows</t>
  </si>
  <si>
    <t>TC-186</t>
  </si>
  <si>
    <t>Duplicate Email</t>
  </si>
  <si>
    <t>Verify that registration cannot be completed using an already registered email address.</t>
  </si>
  <si>
    <t>Existing email</t>
  </si>
  <si>
    <t>System should display an appropriate duplicate email message.</t>
  </si>
  <si>
    <t>System take duplicate email address</t>
  </si>
  <si>
    <t>TC-187</t>
  </si>
  <si>
    <t>First Name Required</t>
  </si>
  <si>
    <t>Verify that registration cannot be completed without entering First Name.</t>
  </si>
  <si>
    <t>1. Leave First Name empty 
2. Fill other required fields 
3. Click Register</t>
  </si>
  <si>
    <t>First Name: Empty</t>
  </si>
  <si>
    <t>First Name should show a required field validation message.</t>
  </si>
  <si>
    <t>System shows name is required</t>
  </si>
  <si>
    <t>TC-188</t>
  </si>
  <si>
    <t>Last Name Required</t>
  </si>
  <si>
    <t>Verify that registration cannot be completed without entering Last Name.</t>
  </si>
  <si>
    <t>1. Leave Last Name empty 
2. Fill other required fields 
3. Click Register</t>
  </si>
  <si>
    <t>Last Name: Empty</t>
  </si>
  <si>
    <t>Last Name should show a required field validation message.</t>
  </si>
  <si>
    <t>System shows Last name is required</t>
  </si>
  <si>
    <t>TC-189</t>
  </si>
  <si>
    <t>First Name Numeric Input</t>
  </si>
  <si>
    <t>Verify that invalid numeric input is handled correctly in the First Name field.</t>
  </si>
  <si>
    <t>1. Enter numeric value in First Name 
2. Fill other fields 
3. Click Register</t>
  </si>
  <si>
    <t>First Name: 123456</t>
  </si>
  <si>
    <t>System should reject or properly validate that number is not allow in name field</t>
  </si>
  <si>
    <t>System does not give amy message . It takes number in name field</t>
  </si>
  <si>
    <t>TC-190</t>
  </si>
  <si>
    <t>Last Name Numeric Input</t>
  </si>
  <si>
    <t>Verify that invalid numeric input is handled correctly in the Last Name field.</t>
  </si>
  <si>
    <t>1. Enter numeric value in Last Name 
2. Fill other fields 
3. Click Register</t>
  </si>
  <si>
    <t>Last Name: 123456</t>
  </si>
  <si>
    <t>TC-191</t>
  </si>
  <si>
    <t>Boundary</t>
  </si>
  <si>
    <t>Very Long First Name</t>
  </si>
  <si>
    <t>Verify that the First Name field handles an excessively long input correctly.</t>
  </si>
  <si>
    <t>First Name: 100+ characters</t>
  </si>
  <si>
    <t>System should restrict or validate the maximum allowed length.</t>
  </si>
  <si>
    <t xml:space="preserve">System does not have any restriction for name field lenght . </t>
  </si>
  <si>
    <t>TC-192</t>
  </si>
  <si>
    <t>Very Long Last Name</t>
  </si>
  <si>
    <t>Verify that the Last Name field handles an excessively long input correctly.</t>
  </si>
  <si>
    <t>1. Enter a very long Last Name 
2. Check field behavior 
3. Submit form</t>
  </si>
  <si>
    <t>Last Name: 100+ characters</t>
  </si>
  <si>
    <t>TC-193</t>
  </si>
  <si>
    <t>Weak Password</t>
  </si>
  <si>
    <t>Verify that the system validates a password that does not meet the required password rules.</t>
  </si>
  <si>
    <t>1. Enter weak password 
2. Fill other fields 
3. Click Register</t>
  </si>
  <si>
    <t>Password: 000000</t>
  </si>
  <si>
    <t>Weak password should be rejected if password strength rules are implement.</t>
  </si>
  <si>
    <t>System take anyhing. no validation in password filed</t>
  </si>
  <si>
    <t>TC-194</t>
  </si>
  <si>
    <t>Very Long Password</t>
  </si>
  <si>
    <t>Verify that the system handles an excessively long password correctly.</t>
  </si>
  <si>
    <t>Password: 100+ characters</t>
  </si>
  <si>
    <t>System should enforce the maximum password length if applicable.</t>
  </si>
  <si>
    <t>System take any lenght of password</t>
  </si>
  <si>
    <t>TC-195</t>
  </si>
  <si>
    <t>Password Mismatch</t>
  </si>
  <si>
    <t>Verify that registration cannot be completed when Password and Confirm Password do not match.</t>
  </si>
  <si>
    <t>1. Enter different passwords 
2. Fill other fields 
3. Click Register</t>
  </si>
  <si>
    <t>Password: Test@123, Confirm: Test@456</t>
  </si>
  <si>
    <t>System should display a password mismatch validation message.</t>
  </si>
  <si>
    <t>Yes. System shows error message</t>
  </si>
  <si>
    <t>TC-196</t>
  </si>
  <si>
    <t>Date of Birth Selection</t>
  </si>
  <si>
    <t>Verify that Date of Birth can be selected using the available dropdown fields.</t>
  </si>
  <si>
    <t>1. Open Register page 
2. Select day 
3. Select month 
4. Select year</t>
  </si>
  <si>
    <t>Valid date</t>
  </si>
  <si>
    <t>Selected date should be displayed correctly.</t>
  </si>
  <si>
    <t>Yes. date can select and shows correctly</t>
  </si>
  <si>
    <t>TC-197</t>
  </si>
  <si>
    <t>Invalid Date of Birth</t>
  </si>
  <si>
    <t>Verify that an invalid date combination cannot be submitted.</t>
  </si>
  <si>
    <t>1. Select an invalid date combination if available 
2. Fill other fields 
3. Submit</t>
  </si>
  <si>
    <t>31 February</t>
  </si>
  <si>
    <t>System should prevent invalid date selection or registration.</t>
  </si>
  <si>
    <t>Inavelid date can not take. but error message shows date is required</t>
  </si>
  <si>
    <t>TC-198</t>
  </si>
  <si>
    <t>Newsletter Selection</t>
  </si>
  <si>
    <t>Verify that the Newsletter option can be selected and deselected.</t>
  </si>
  <si>
    <t>1. Open Register page 
2. Select Newsletter 
3. Deselect Newsletter 
4. Check state</t>
  </si>
  <si>
    <t>Checked/Unchecked</t>
  </si>
  <si>
    <t>Newsletter preference should update correctly.</t>
  </si>
  <si>
    <t>Yes. newsletter option can select/unselect</t>
  </si>
  <si>
    <t>TC-199</t>
  </si>
  <si>
    <t>Multiple Register Click</t>
  </si>
  <si>
    <t>Verify that rapidly clicking the Register button does not create duplicate accounts.</t>
  </si>
  <si>
    <t>1. Fill all required fields 
2. Click Register multiple times rapidly 
3. Check account creation</t>
  </si>
  <si>
    <t>Valid registration data</t>
  </si>
  <si>
    <t>Only one registration request/account should be created.</t>
  </si>
  <si>
    <t>Click multiple time in registered button it create only one account</t>
  </si>
  <si>
    <t>TC-200</t>
  </si>
  <si>
    <t>Script Input in Registration Fields</t>
  </si>
  <si>
    <t>Verify that script input entered into registration fields is not executed or stored unsafely.</t>
  </si>
  <si>
    <t>1. Enter script text in First Name&amp;Last Name 
2. Fill remaining fields 
3. Submit if allowed 
4. Check response</t>
  </si>
  <si>
    <t>User input should be safely handled and script should not execute.</t>
  </si>
  <si>
    <t>It takes script text in mane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</si>
</sst>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53">
    <font>
      <sz val="10"/>
      <color rgb="FF000000"/>
      <name val="Arial"/>
      <scheme val="minor"/>
    </font>
    <font>
      <b/>
      <sz val="10"/>
      <color theme="0"/>
      <name val="Arial"/>
      <scheme val="minor"/>
    </font>
    <font>
      <sz val="10"/>
      <color theme="1"/>
      <name val="Arial"/>
      <scheme val="minor"/>
    </font>
    <font>
      <b/>
      <u/>
      <sz val="18"/>
      <color rgb="FF0000FF"/>
      <name val="Arial"/>
    </font>
    <font>
      <b/>
      <sz val="11"/>
      <color theme="1"/>
      <name val="Calibri"/>
    </font>
    <font>
      <sz val="10"/>
      <name val="Arial"/>
    </font>
    <font>
      <u/>
      <sz val="11"/>
      <color rgb="FF0000FF"/>
      <name val="Calibri"/>
    </font>
    <font>
      <sz val="11"/>
      <color theme="1"/>
      <name val="Calibri"/>
    </font>
    <font>
      <sz val="11"/>
      <color theme="1"/>
      <name val="Arial"/>
      <scheme val="minor"/>
    </font>
    <font>
      <b/>
      <sz val="10"/>
      <color theme="1"/>
      <name val="Verdana"/>
    </font>
    <font>
      <b/>
      <sz val="10"/>
      <color theme="0"/>
      <name val="Verdana"/>
    </font>
    <font>
      <sz val="10"/>
      <color theme="1"/>
      <name val="Verdana"/>
    </font>
    <font>
      <b/>
      <sz val="10"/>
      <color rgb="FFFFFFFF"/>
      <name val="Verdana"/>
    </font>
    <font>
      <b/>
      <sz val="20"/>
      <color theme="1"/>
      <name val="Calibri"/>
    </font>
    <font>
      <b/>
      <sz val="12"/>
      <color theme="1"/>
      <name val="Calibri"/>
    </font>
    <font>
      <b/>
      <sz val="11"/>
      <color rgb="FFFFFFFF"/>
      <name val="&quot;Times New Roman&quot;"/>
    </font>
    <font>
      <b/>
      <sz val="11"/>
      <color rgb="FFFFFFFF"/>
      <name val="Calibri"/>
    </font>
    <font>
      <b/>
      <sz val="12"/>
      <color rgb="FFFFFFFF"/>
      <name val="&quot;Times New Roman&quot;"/>
    </font>
    <font>
      <b/>
      <sz val="12"/>
      <color rgb="FFFFFFFF"/>
      <name val="Calibri"/>
    </font>
    <font>
      <b/>
      <u/>
      <sz val="11"/>
      <color rgb="FF0563C1"/>
      <name val="Calibri"/>
    </font>
    <font>
      <b/>
      <sz val="24"/>
      <color rgb="FFFFFFFF"/>
      <name val="Calibri"/>
    </font>
    <font>
      <b/>
      <sz val="12"/>
      <color rgb="FFFFFFFF"/>
      <name val="Times New Roman"/>
    </font>
    <font>
      <sz val="11"/>
      <color rgb="FF000000"/>
      <name val="Arial"/>
      <scheme val="minor"/>
    </font>
    <font>
      <b/>
      <u/>
      <sz val="11"/>
      <color rgb="FF0000FF"/>
      <name val="Calibri"/>
    </font>
    <font>
      <u/>
      <sz val="10"/>
      <color rgb="FF0000FF"/>
      <name val="Arial"/>
    </font>
    <font>
      <b/>
      <sz val="10"/>
      <color rgb="FF000000"/>
      <name val="Arial"/>
    </font>
    <font>
      <sz val="11"/>
      <color rgb="FFFFFFFF"/>
      <name val="Arial"/>
    </font>
    <font>
      <b/>
      <sz val="11"/>
      <color rgb="FF0563C1"/>
      <name val="Calibri"/>
    </font>
    <font>
      <b/>
      <sz val="11"/>
      <color theme="1"/>
      <name val="Comfortaa"/>
    </font>
    <font>
      <b/>
      <sz val="10"/>
      <color rgb="FFFFFFFF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sz val="11"/>
      <color rgb="FF1155CC"/>
      <name val="Arial"/>
    </font>
    <font>
      <b/>
      <sz val="15"/>
      <color theme="0"/>
      <name val="Calibri"/>
    </font>
    <font>
      <sz val="11"/>
      <color theme="1"/>
      <name val="Arial"/>
    </font>
    <font>
      <sz val="15"/>
      <color theme="1"/>
      <name val="Calibri"/>
    </font>
    <font>
      <sz val="15"/>
      <color theme="1"/>
      <name val="Arial"/>
      <scheme val="minor"/>
    </font>
    <font>
      <sz val="12"/>
      <color theme="1"/>
      <name val="Calibri"/>
    </font>
    <font>
      <sz val="12"/>
      <color theme="1"/>
      <name val="Arial"/>
      <scheme val="minor"/>
    </font>
    <font>
      <u/>
      <sz val="11"/>
      <color rgb="FF0000FF"/>
      <name val="Arial"/>
    </font>
    <font>
      <sz val="11"/>
      <color rgb="FFFFFFFF"/>
      <name val="Arial"/>
      <scheme val="minor"/>
    </font>
    <font>
      <u/>
      <sz val="11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Arial"/>
    </font>
    <font>
      <sz val="10"/>
      <color theme="1"/>
      <name val="Calibri"/>
    </font>
    <font>
      <b/>
      <sz val="11"/>
      <color rgb="FFCC0000"/>
      <name val="Calibri"/>
    </font>
    <font>
      <b/>
      <sz val="11"/>
      <color rgb="FFFF0000"/>
      <name val="Calibri"/>
    </font>
    <font>
      <b/>
      <u/>
      <sz val="11"/>
      <color rgb="FF000000"/>
      <name val="Calibri"/>
    </font>
    <font>
      <b/>
      <u/>
      <sz val="11"/>
      <color rgb="FF1155CC"/>
      <name val="Calibri"/>
    </font>
    <font>
      <strike/>
      <sz val="11"/>
      <color rgb="FF000000"/>
      <name val="Arial"/>
    </font>
  </fonts>
  <fills count="21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6D9F0"/>
        <bgColor rgb="FFC6D9F0"/>
      </patternFill>
    </fill>
    <fill>
      <patternFill patternType="solid">
        <fgColor rgb="FF6AA84F"/>
        <bgColor rgb="FF6AA84F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B0F0"/>
        <bgColor rgb="FF00B0F0"/>
      </patternFill>
    </fill>
    <fill>
      <patternFill patternType="solid">
        <fgColor rgb="FFE6B8AF"/>
        <bgColor rgb="FFE6B8AF"/>
      </patternFill>
    </fill>
    <fill>
      <patternFill patternType="solid">
        <fgColor rgb="FF7B7B7B"/>
        <bgColor rgb="FF7B7B7B"/>
      </patternFill>
    </fill>
    <fill>
      <patternFill patternType="solid">
        <fgColor rgb="FFC27BA0"/>
        <bgColor rgb="FFC27BA0"/>
      </patternFill>
    </fill>
    <fill>
      <patternFill patternType="solid">
        <fgColor rgb="FF0070C0"/>
        <bgColor rgb="FF0070C0"/>
      </patternFill>
    </fill>
    <fill>
      <patternFill patternType="solid">
        <fgColor rgb="FFF2DBDB"/>
        <bgColor rgb="FFF2DBDB"/>
      </patternFill>
    </fill>
    <fill>
      <patternFill patternType="solid">
        <fgColor rgb="FFFFFFFF"/>
        <bgColor rgb="FFFFFFFF"/>
      </patternFill>
    </fill>
    <fill>
      <patternFill patternType="solid">
        <fgColor rgb="FFB6DDE8"/>
        <bgColor rgb="FFB6DDE8"/>
      </patternFill>
    </fill>
    <fill>
      <patternFill patternType="solid">
        <fgColor rgb="FFDCE6F2"/>
        <bgColor rgb="FFDCE6F2"/>
      </patternFill>
    </fill>
    <fill>
      <patternFill patternType="solid">
        <fgColor rgb="FF1C4587"/>
        <bgColor rgb="FF1C4587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3" xfId="0" applyFont="1" applyBorder="1"/>
    <xf numFmtId="0" fontId="10" fillId="6" borderId="6" xfId="0" applyFont="1" applyFill="1" applyBorder="1" applyAlignment="1">
      <alignment horizontal="left" wrapText="1"/>
    </xf>
    <xf numFmtId="0" fontId="12" fillId="8" borderId="6" xfId="0" applyFont="1" applyFill="1" applyBorder="1" applyAlignment="1">
      <alignment horizontal="left" wrapText="1"/>
    </xf>
    <xf numFmtId="0" fontId="9" fillId="9" borderId="6" xfId="0" applyFont="1" applyFill="1" applyBorder="1" applyAlignment="1">
      <alignment horizontal="left" wrapText="1"/>
    </xf>
    <xf numFmtId="0" fontId="9" fillId="11" borderId="6" xfId="0" applyFont="1" applyFill="1" applyBorder="1" applyAlignment="1">
      <alignment horizontal="left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5" borderId="14" xfId="0" applyFont="1" applyFill="1" applyBorder="1" applyAlignment="1">
      <alignment horizontal="left" wrapText="1"/>
    </xf>
    <xf numFmtId="0" fontId="4" fillId="4" borderId="16" xfId="0" applyFont="1" applyFill="1" applyBorder="1"/>
    <xf numFmtId="0" fontId="7" fillId="4" borderId="16" xfId="0" applyFont="1" applyFill="1" applyBorder="1" applyAlignment="1">
      <alignment vertical="top" wrapText="1"/>
    </xf>
    <xf numFmtId="0" fontId="19" fillId="4" borderId="16" xfId="0" applyFont="1" applyFill="1" applyBorder="1"/>
    <xf numFmtId="0" fontId="4" fillId="4" borderId="16" xfId="0" applyFont="1" applyFill="1" applyBorder="1" applyAlignment="1">
      <alignment wrapText="1"/>
    </xf>
    <xf numFmtId="0" fontId="2" fillId="14" borderId="1" xfId="0" applyFont="1" applyFill="1" applyBorder="1"/>
    <xf numFmtId="0" fontId="4" fillId="4" borderId="15" xfId="0" applyFont="1" applyFill="1" applyBorder="1"/>
    <xf numFmtId="0" fontId="4" fillId="4" borderId="18" xfId="0" applyFont="1" applyFill="1" applyBorder="1"/>
    <xf numFmtId="0" fontId="4" fillId="16" borderId="19" xfId="0" applyFont="1" applyFill="1" applyBorder="1" applyAlignment="1">
      <alignment horizontal="right"/>
    </xf>
    <xf numFmtId="0" fontId="2" fillId="0" borderId="0" xfId="0" applyFont="1" applyAlignment="1">
      <alignment vertical="center"/>
    </xf>
    <xf numFmtId="0" fontId="27" fillId="4" borderId="16" xfId="0" applyFont="1" applyFill="1" applyBorder="1"/>
    <xf numFmtId="0" fontId="2" fillId="0" borderId="0" xfId="0" applyFont="1" applyAlignment="1">
      <alignment horizontal="center" vertical="center" wrapText="1"/>
    </xf>
    <xf numFmtId="0" fontId="26" fillId="17" borderId="0" xfId="0" applyFont="1" applyFill="1" applyAlignment="1">
      <alignment horizontal="center" vertical="center" wrapText="1"/>
    </xf>
    <xf numFmtId="0" fontId="4" fillId="4" borderId="15" xfId="0" applyFont="1" applyFill="1" applyBorder="1" applyAlignment="1">
      <alignment wrapText="1"/>
    </xf>
    <xf numFmtId="0" fontId="35" fillId="20" borderId="25" xfId="0" applyFont="1" applyFill="1" applyBorder="1" applyAlignment="1">
      <alignment horizontal="center"/>
    </xf>
    <xf numFmtId="0" fontId="35" fillId="20" borderId="18" xfId="0" applyFont="1" applyFill="1" applyBorder="1" applyAlignment="1">
      <alignment horizontal="center"/>
    </xf>
    <xf numFmtId="0" fontId="36" fillId="17" borderId="0" xfId="0" applyFont="1" applyFill="1" applyAlignment="1">
      <alignment horizontal="center" vertical="center" wrapText="1"/>
    </xf>
    <xf numFmtId="0" fontId="37" fillId="0" borderId="0" xfId="0" applyFont="1"/>
    <xf numFmtId="0" fontId="38" fillId="0" borderId="0" xfId="0" applyFont="1"/>
    <xf numFmtId="0" fontId="39" fillId="0" borderId="25" xfId="0" applyFont="1" applyBorder="1" applyAlignment="1">
      <alignment horizontal="center"/>
    </xf>
    <xf numFmtId="0" fontId="14" fillId="0" borderId="25" xfId="0" applyFont="1" applyBorder="1"/>
    <xf numFmtId="0" fontId="39" fillId="0" borderId="25" xfId="0" applyFont="1" applyBorder="1"/>
    <xf numFmtId="0" fontId="39" fillId="0" borderId="0" xfId="0" applyFont="1"/>
    <xf numFmtId="0" fontId="40" fillId="0" borderId="0" xfId="0" applyFont="1"/>
    <xf numFmtId="0" fontId="8" fillId="0" borderId="0" xfId="0" applyFont="1" applyAlignment="1">
      <alignment vertical="center" wrapText="1"/>
    </xf>
    <xf numFmtId="0" fontId="44" fillId="17" borderId="0" xfId="0" applyFont="1" applyFill="1" applyAlignment="1">
      <alignment horizontal="center" vertical="center" wrapText="1"/>
    </xf>
    <xf numFmtId="0" fontId="44" fillId="17" borderId="0" xfId="0" applyFont="1" applyFill="1" applyAlignment="1">
      <alignment horizontal="center" vertical="center"/>
    </xf>
    <xf numFmtId="0" fontId="45" fillId="17" borderId="0" xfId="0" applyFont="1" applyFill="1" applyAlignment="1">
      <alignment horizontal="center" vertical="center"/>
    </xf>
    <xf numFmtId="0" fontId="46" fillId="17" borderId="0" xfId="0" applyFont="1" applyFill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49" fontId="46" fillId="17" borderId="0" xfId="0" applyNumberFormat="1" applyFont="1" applyFill="1" applyAlignment="1">
      <alignment horizontal="center" vertical="center" wrapText="1"/>
    </xf>
    <xf numFmtId="0" fontId="46" fillId="17" borderId="0" xfId="0" applyFont="1" applyFill="1" applyAlignment="1">
      <alignment horizontal="left" vertical="center" wrapText="1"/>
    </xf>
    <xf numFmtId="0" fontId="0" fillId="0" borderId="23" xfId="0" applyBorder="1"/>
    <xf numFmtId="0" fontId="2" fillId="14" borderId="21" xfId="0" applyFont="1" applyFill="1" applyBorder="1"/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8" fillId="0" borderId="23" xfId="0" applyFont="1" applyBorder="1" applyAlignment="1">
      <alignment vertical="center" wrapText="1"/>
    </xf>
    <xf numFmtId="0" fontId="8" fillId="0" borderId="23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164" fontId="7" fillId="0" borderId="31" xfId="0" applyNumberFormat="1" applyFont="1" applyBorder="1" applyAlignment="1">
      <alignment horizontal="center" wrapText="1"/>
    </xf>
    <xf numFmtId="0" fontId="4" fillId="4" borderId="31" xfId="0" applyFont="1" applyFill="1" applyBorder="1" applyAlignment="1">
      <alignment horizontal="center" wrapText="1"/>
    </xf>
    <xf numFmtId="0" fontId="7" fillId="0" borderId="31" xfId="0" applyFont="1" applyBorder="1" applyAlignment="1">
      <alignment horizontal="center" vertical="center" wrapText="1"/>
    </xf>
    <xf numFmtId="0" fontId="0" fillId="0" borderId="31" xfId="0" applyBorder="1"/>
    <xf numFmtId="0" fontId="8" fillId="0" borderId="31" xfId="0" applyFont="1" applyBorder="1"/>
    <xf numFmtId="0" fontId="9" fillId="5" borderId="31" xfId="0" applyFont="1" applyFill="1" applyBorder="1" applyAlignment="1">
      <alignment horizontal="left" wrapText="1"/>
    </xf>
    <xf numFmtId="0" fontId="7" fillId="0" borderId="31" xfId="0" applyFont="1" applyBorder="1" applyAlignment="1">
      <alignment horizontal="center" wrapText="1"/>
    </xf>
    <xf numFmtId="0" fontId="10" fillId="6" borderId="31" xfId="0" applyFont="1" applyFill="1" applyBorder="1" applyAlignment="1">
      <alignment horizontal="left" wrapText="1"/>
    </xf>
    <xf numFmtId="0" fontId="11" fillId="7" borderId="31" xfId="0" applyFont="1" applyFill="1" applyBorder="1" applyAlignment="1">
      <alignment horizontal="center" wrapText="1"/>
    </xf>
    <xf numFmtId="0" fontId="7" fillId="0" borderId="31" xfId="0" applyFont="1" applyBorder="1" applyAlignment="1">
      <alignment horizontal="center" vertical="center"/>
    </xf>
    <xf numFmtId="0" fontId="12" fillId="8" borderId="31" xfId="0" applyFont="1" applyFill="1" applyBorder="1" applyAlignment="1">
      <alignment horizontal="left" wrapText="1"/>
    </xf>
    <xf numFmtId="0" fontId="8" fillId="0" borderId="31" xfId="0" applyFont="1" applyBorder="1" applyAlignment="1">
      <alignment horizontal="center" wrapText="1"/>
    </xf>
    <xf numFmtId="0" fontId="9" fillId="9" borderId="31" xfId="0" applyFont="1" applyFill="1" applyBorder="1" applyAlignment="1">
      <alignment horizontal="left" wrapText="1"/>
    </xf>
    <xf numFmtId="0" fontId="9" fillId="11" borderId="31" xfId="0" applyFont="1" applyFill="1" applyBorder="1" applyAlignment="1">
      <alignment horizontal="left" wrapText="1"/>
    </xf>
    <xf numFmtId="0" fontId="11" fillId="13" borderId="31" xfId="0" applyFont="1" applyFill="1" applyBorder="1" applyAlignment="1">
      <alignment horizontal="center" wrapText="1"/>
    </xf>
    <xf numFmtId="0" fontId="2" fillId="0" borderId="3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9" fillId="7" borderId="31" xfId="0" applyFont="1" applyFill="1" applyBorder="1" applyAlignment="1">
      <alignment horizontal="center" wrapText="1"/>
    </xf>
    <xf numFmtId="0" fontId="15" fillId="14" borderId="31" xfId="0" applyFont="1" applyFill="1" applyBorder="1" applyAlignment="1">
      <alignment horizontal="center" vertical="center"/>
    </xf>
    <xf numFmtId="0" fontId="16" fillId="14" borderId="31" xfId="0" applyFont="1" applyFill="1" applyBorder="1" applyAlignment="1">
      <alignment horizontal="center" vertical="center"/>
    </xf>
    <xf numFmtId="0" fontId="15" fillId="14" borderId="31" xfId="0" applyFont="1" applyFill="1" applyBorder="1" applyAlignment="1">
      <alignment horizontal="center" wrapText="1"/>
    </xf>
    <xf numFmtId="0" fontId="17" fillId="14" borderId="31" xfId="0" applyFont="1" applyFill="1" applyBorder="1" applyAlignment="1">
      <alignment horizontal="left" wrapText="1"/>
    </xf>
    <xf numFmtId="0" fontId="16" fillId="14" borderId="31" xfId="0" applyFont="1" applyFill="1" applyBorder="1" applyAlignment="1">
      <alignment horizontal="center"/>
    </xf>
    <xf numFmtId="0" fontId="15" fillId="14" borderId="31" xfId="0" applyFont="1" applyFill="1" applyBorder="1" applyAlignment="1">
      <alignment horizontal="center" vertical="center" wrapText="1"/>
    </xf>
    <xf numFmtId="0" fontId="18" fillId="14" borderId="31" xfId="0" applyFont="1" applyFill="1" applyBorder="1" applyAlignment="1">
      <alignment horizontal="center"/>
    </xf>
    <xf numFmtId="0" fontId="17" fillId="14" borderId="31" xfId="0" applyFont="1" applyFill="1" applyBorder="1" applyAlignment="1">
      <alignment horizontal="center"/>
    </xf>
    <xf numFmtId="0" fontId="21" fillId="14" borderId="31" xfId="0" applyFont="1" applyFill="1" applyBorder="1" applyAlignment="1">
      <alignment horizontal="center"/>
    </xf>
    <xf numFmtId="0" fontId="22" fillId="17" borderId="31" xfId="0" applyFont="1" applyFill="1" applyBorder="1" applyAlignment="1">
      <alignment horizontal="center" vertical="center"/>
    </xf>
    <xf numFmtId="0" fontId="22" fillId="17" borderId="31" xfId="0" applyFont="1" applyFill="1" applyBorder="1" applyAlignment="1">
      <alignment horizontal="center" vertical="center" wrapText="1"/>
    </xf>
    <xf numFmtId="0" fontId="22" fillId="17" borderId="31" xfId="0" applyFont="1" applyFill="1" applyBorder="1" applyAlignment="1">
      <alignment horizontal="left" vertical="center" wrapText="1"/>
    </xf>
    <xf numFmtId="0" fontId="24" fillId="17" borderId="31" xfId="0" applyFont="1" applyFill="1" applyBorder="1" applyAlignment="1">
      <alignment horizontal="center" vertical="center" wrapText="1"/>
    </xf>
    <xf numFmtId="0" fontId="25" fillId="17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vertical="center" wrapText="1"/>
    </xf>
    <xf numFmtId="0" fontId="29" fillId="17" borderId="31" xfId="0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vertical="center" wrapText="1"/>
    </xf>
    <xf numFmtId="0" fontId="22" fillId="0" borderId="31" xfId="0" applyFont="1" applyBorder="1" applyAlignment="1">
      <alignment horizontal="center" vertical="center" wrapText="1"/>
    </xf>
    <xf numFmtId="0" fontId="26" fillId="17" borderId="31" xfId="0" applyFont="1" applyFill="1" applyBorder="1" applyAlignment="1">
      <alignment horizontal="center" vertical="center"/>
    </xf>
    <xf numFmtId="0" fontId="26" fillId="17" borderId="31" xfId="0" applyFont="1" applyFill="1" applyBorder="1" applyAlignment="1">
      <alignment horizontal="center" vertical="center" wrapText="1"/>
    </xf>
    <xf numFmtId="0" fontId="26" fillId="8" borderId="31" xfId="0" applyFont="1" applyFill="1" applyBorder="1" applyAlignment="1">
      <alignment horizontal="center" vertical="center" wrapText="1"/>
    </xf>
    <xf numFmtId="0" fontId="30" fillId="17" borderId="31" xfId="0" applyFont="1" applyFill="1" applyBorder="1" applyAlignment="1">
      <alignment horizontal="center" vertical="center" wrapText="1"/>
    </xf>
    <xf numFmtId="165" fontId="22" fillId="17" borderId="31" xfId="0" applyNumberFormat="1" applyFont="1" applyFill="1" applyBorder="1" applyAlignment="1">
      <alignment horizontal="center" vertical="center" wrapText="1"/>
    </xf>
    <xf numFmtId="0" fontId="31" fillId="17" borderId="31" xfId="0" applyFont="1" applyFill="1" applyBorder="1" applyAlignment="1">
      <alignment horizontal="center" vertical="center" wrapText="1"/>
    </xf>
    <xf numFmtId="0" fontId="32" fillId="17" borderId="31" xfId="0" applyFont="1" applyFill="1" applyBorder="1" applyAlignment="1">
      <alignment horizontal="center" vertical="center" wrapText="1"/>
    </xf>
    <xf numFmtId="49" fontId="22" fillId="17" borderId="31" xfId="0" applyNumberFormat="1" applyFont="1" applyFill="1" applyBorder="1" applyAlignment="1">
      <alignment horizontal="center" vertical="center" wrapText="1"/>
    </xf>
    <xf numFmtId="0" fontId="33" fillId="17" borderId="31" xfId="0" applyFont="1" applyFill="1" applyBorder="1" applyAlignment="1">
      <alignment horizontal="center" vertical="center" wrapText="1"/>
    </xf>
    <xf numFmtId="0" fontId="34" fillId="17" borderId="31" xfId="0" applyFont="1" applyFill="1" applyBorder="1" applyAlignment="1">
      <alignment horizontal="center" vertical="center" wrapText="1"/>
    </xf>
    <xf numFmtId="0" fontId="36" fillId="17" borderId="31" xfId="0" applyFont="1" applyFill="1" applyBorder="1" applyAlignment="1">
      <alignment horizontal="center" vertical="center" wrapText="1"/>
    </xf>
    <xf numFmtId="0" fontId="8" fillId="0" borderId="31" xfId="0" applyFont="1" applyBorder="1" applyAlignment="1">
      <alignment horizontal="left" vertical="center" wrapText="1"/>
    </xf>
    <xf numFmtId="0" fontId="41" fillId="0" borderId="31" xfId="0" applyFont="1" applyBorder="1" applyAlignment="1">
      <alignment horizontal="center" vertical="center" wrapText="1"/>
    </xf>
    <xf numFmtId="0" fontId="8" fillId="17" borderId="31" xfId="0" applyFont="1" applyFill="1" applyBorder="1" applyAlignment="1">
      <alignment horizontal="center" vertical="center" wrapText="1"/>
    </xf>
    <xf numFmtId="0" fontId="42" fillId="17" borderId="31" xfId="0" applyFont="1" applyFill="1" applyBorder="1" applyAlignment="1">
      <alignment horizontal="center" vertical="center" wrapText="1"/>
    </xf>
    <xf numFmtId="49" fontId="43" fillId="17" borderId="31" xfId="0" applyNumberFormat="1" applyFont="1" applyFill="1" applyBorder="1" applyAlignment="1">
      <alignment horizontal="center" vertical="center" wrapText="1"/>
    </xf>
    <xf numFmtId="0" fontId="42" fillId="8" borderId="31" xfId="0" applyFont="1" applyFill="1" applyBorder="1" applyAlignment="1">
      <alignment vertical="center" wrapText="1"/>
    </xf>
    <xf numFmtId="0" fontId="42" fillId="6" borderId="31" xfId="0" applyFont="1" applyFill="1" applyBorder="1" applyAlignment="1">
      <alignment vertical="center" wrapText="1"/>
    </xf>
    <xf numFmtId="0" fontId="7" fillId="0" borderId="31" xfId="0" applyFont="1" applyBorder="1" applyAlignment="1">
      <alignment horizontal="left" vertical="center" wrapText="1"/>
    </xf>
    <xf numFmtId="0" fontId="5" fillId="0" borderId="31" xfId="0" applyFont="1" applyBorder="1"/>
    <xf numFmtId="0" fontId="9" fillId="5" borderId="31" xfId="0" applyFont="1" applyFill="1" applyBorder="1" applyAlignment="1">
      <alignment horizontal="left" wrapText="1"/>
    </xf>
    <xf numFmtId="0" fontId="4" fillId="3" borderId="31" xfId="0" applyFont="1" applyFill="1" applyBorder="1" applyAlignment="1">
      <alignment horizontal="center" vertical="center" wrapText="1"/>
    </xf>
    <xf numFmtId="0" fontId="4" fillId="10" borderId="31" xfId="0" applyFont="1" applyFill="1" applyBorder="1" applyAlignment="1">
      <alignment horizontal="center" vertical="center" wrapText="1"/>
    </xf>
    <xf numFmtId="0" fontId="13" fillId="12" borderId="10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14" fillId="4" borderId="10" xfId="0" applyFont="1" applyFill="1" applyBorder="1"/>
    <xf numFmtId="0" fontId="5" fillId="0" borderId="13" xfId="0" applyFont="1" applyBorder="1"/>
    <xf numFmtId="0" fontId="14" fillId="4" borderId="15" xfId="0" applyFont="1" applyFill="1" applyBorder="1" applyAlignment="1">
      <alignment wrapText="1"/>
    </xf>
    <xf numFmtId="0" fontId="14" fillId="4" borderId="15" xfId="0" applyFont="1" applyFill="1" applyBorder="1"/>
    <xf numFmtId="0" fontId="11" fillId="7" borderId="2" xfId="0" applyFont="1" applyFill="1" applyBorder="1" applyAlignment="1">
      <alignment horizontal="center" wrapText="1"/>
    </xf>
    <xf numFmtId="0" fontId="5" fillId="0" borderId="17" xfId="0" applyFont="1" applyBorder="1"/>
    <xf numFmtId="0" fontId="5" fillId="0" borderId="27" xfId="0" applyFont="1" applyBorder="1"/>
    <xf numFmtId="0" fontId="11" fillId="13" borderId="2" xfId="0" applyFont="1" applyFill="1" applyBorder="1" applyAlignment="1">
      <alignment horizontal="center" wrapText="1"/>
    </xf>
    <xf numFmtId="0" fontId="9" fillId="7" borderId="28" xfId="0" applyFont="1" applyFill="1" applyBorder="1" applyAlignment="1">
      <alignment horizontal="center" wrapText="1"/>
    </xf>
    <xf numFmtId="0" fontId="5" fillId="0" borderId="29" xfId="0" applyFont="1" applyBorder="1"/>
    <xf numFmtId="0" fontId="5" fillId="0" borderId="30" xfId="0" applyFont="1" applyBorder="1"/>
    <xf numFmtId="0" fontId="20" fillId="15" borderId="2" xfId="0" applyFont="1" applyFill="1" applyBorder="1" applyAlignment="1">
      <alignment horizontal="center"/>
    </xf>
    <xf numFmtId="0" fontId="5" fillId="0" borderId="4" xfId="0" applyFont="1" applyBorder="1"/>
    <xf numFmtId="0" fontId="23" fillId="18" borderId="7" xfId="0" applyFont="1" applyFill="1" applyBorder="1" applyAlignment="1">
      <alignment wrapText="1"/>
    </xf>
    <xf numFmtId="0" fontId="5" fillId="0" borderId="20" xfId="0" applyFont="1" applyBorder="1"/>
    <xf numFmtId="0" fontId="5" fillId="0" borderId="8" xfId="0" applyFont="1" applyBorder="1"/>
    <xf numFmtId="0" fontId="4" fillId="18" borderId="7" xfId="0" applyFont="1" applyFill="1" applyBorder="1" applyAlignment="1">
      <alignment wrapText="1"/>
    </xf>
    <xf numFmtId="0" fontId="28" fillId="19" borderId="22" xfId="0" applyFont="1" applyFill="1" applyBorder="1" applyAlignment="1">
      <alignment horizontal="center" wrapText="1"/>
    </xf>
    <xf numFmtId="0" fontId="5" fillId="0" borderId="23" xfId="0" applyFont="1" applyBorder="1"/>
    <xf numFmtId="0" fontId="5" fillId="0" borderId="24" xfId="0" applyFont="1" applyBorder="1"/>
    <xf numFmtId="0" fontId="5" fillId="0" borderId="26" xfId="0" applyFont="1" applyBorder="1"/>
    <xf numFmtId="0" fontId="5" fillId="0" borderId="9" xfId="0" applyFont="1" applyBorder="1"/>
    <xf numFmtId="0" fontId="5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847725</xdr:colOff>
      <xdr:row>1</xdr:row>
      <xdr:rowOff>123825</xdr:rowOff>
    </xdr:from>
    <xdr:ext cx="4705350" cy="25622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466725</xdr:colOff>
      <xdr:row>0</xdr:row>
      <xdr:rowOff>180975</xdr:rowOff>
    </xdr:from>
    <xdr:ext cx="7591425" cy="109823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document/d/1VkKCqOMsD_4n7D6GAd_krLH31Mufrq4q_7Ax_8QiyfM/edit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iGbeFUDxqkB_7Tt1qdPdpbXodDefe88a/view?usp=drive_link" TargetMode="External"/><Relationship Id="rId13" Type="http://schemas.openxmlformats.org/officeDocument/2006/relationships/hyperlink" Target="https://drive.google.com/file/d/1-tUGfqLWQUF924c1xFRWG6GUxoKq5bi4/view?usp=drive_link" TargetMode="External"/><Relationship Id="rId18" Type="http://schemas.openxmlformats.org/officeDocument/2006/relationships/hyperlink" Target="https://drive.google.com/file/d/10eQS8x_BxDi9tkglenqduSVTOY3M-sg7/view?usp=drive_link" TargetMode="External"/><Relationship Id="rId26" Type="http://schemas.openxmlformats.org/officeDocument/2006/relationships/hyperlink" Target="https://drive.google.com/file/d/1znpN3pOLNI1PErNqaMW86OgOqojT-Ks4/view?usp=drive_link" TargetMode="External"/><Relationship Id="rId3" Type="http://schemas.openxmlformats.org/officeDocument/2006/relationships/hyperlink" Target="https://drive.google.com/file/d/1LLSM-RLMELDccZfcZBp-7fy0DJJZAB7p/view?usp=drive_link" TargetMode="External"/><Relationship Id="rId21" Type="http://schemas.openxmlformats.org/officeDocument/2006/relationships/hyperlink" Target="https://drive.google.com/file/d/108wrnVbBhg1ioXarS2upmWit8pImni1u/view?usp=drive_link" TargetMode="External"/><Relationship Id="rId7" Type="http://schemas.openxmlformats.org/officeDocument/2006/relationships/hyperlink" Target="https://drive.google.com/file/d/1Ts0Ryr3q-F_FB4sYLQys7Lkr3V7YPbKJ/view?usp=drive_link" TargetMode="External"/><Relationship Id="rId12" Type="http://schemas.openxmlformats.org/officeDocument/2006/relationships/hyperlink" Target="https://drive.google.com/file/d/1sn7qekv9GzJ-UyteC5aSDF9FapVSJauC/view?usp=drive_link" TargetMode="External"/><Relationship Id="rId17" Type="http://schemas.openxmlformats.org/officeDocument/2006/relationships/hyperlink" Target="https://drive.google.com/file/d/147V_9s_KLVY-PvfWUhUdqNfhsIG7epag/view?usp=drive_link" TargetMode="External"/><Relationship Id="rId25" Type="http://schemas.openxmlformats.org/officeDocument/2006/relationships/hyperlink" Target="https://drive.google.com/file/d/1xybEn8930--GtM0gO4KytOsTvqd1WcMH/view?usp=drive_link" TargetMode="External"/><Relationship Id="rId2" Type="http://schemas.openxmlformats.org/officeDocument/2006/relationships/hyperlink" Target="https://drive.google.com/file/d/1LLSM-RLMELDccZfcZBp-7fy0DJJZAB7p/view?usp=drive_link" TargetMode="External"/><Relationship Id="rId16" Type="http://schemas.openxmlformats.org/officeDocument/2006/relationships/hyperlink" Target="https://drive.google.com/file/d/1F_uva9znJmdGb7ZP6qzjjALlyPSjOhqK/view?usp=drive_link" TargetMode="External"/><Relationship Id="rId20" Type="http://schemas.openxmlformats.org/officeDocument/2006/relationships/hyperlink" Target="https://drive.google.com/file/d/1l6yeYJ31WLvoAaOGm9jiZMWp_fCKH6Tt/view?usp=drive_link" TargetMode="External"/><Relationship Id="rId29" Type="http://schemas.openxmlformats.org/officeDocument/2006/relationships/hyperlink" Target="https://othoba.com/invalid-product" TargetMode="External"/><Relationship Id="rId1" Type="http://schemas.openxmlformats.org/officeDocument/2006/relationships/hyperlink" Target="https://othoba.com/" TargetMode="External"/><Relationship Id="rId6" Type="http://schemas.openxmlformats.org/officeDocument/2006/relationships/hyperlink" Target="https://drive.google.com/file/d/1mh5h6HHJq8NxPhUhFN_58r8AY_13J8w1/view?usp=drive_link" TargetMode="External"/><Relationship Id="rId11" Type="http://schemas.openxmlformats.org/officeDocument/2006/relationships/hyperlink" Target="https://drive.google.com/file/d/1sn7qekv9GzJ-UyteC5aSDF9FapVSJauC/view?usp=drive_link" TargetMode="External"/><Relationship Id="rId24" Type="http://schemas.openxmlformats.org/officeDocument/2006/relationships/hyperlink" Target="https://drive.google.com/file/d/1F_uva9znJmdGb7ZP6qzjjALlyPSjOhqK/view?usp=drive_link" TargetMode="External"/><Relationship Id="rId5" Type="http://schemas.openxmlformats.org/officeDocument/2006/relationships/hyperlink" Target="https://drive.google.com/file/d/1peT5L0caTOnwmC3veYI73M_Ys2qka4Ou/view?usp=drive_link" TargetMode="External"/><Relationship Id="rId15" Type="http://schemas.openxmlformats.org/officeDocument/2006/relationships/hyperlink" Target="https://drive.google.com/file/d/1h1fyLW8wZEwkeJ-xJBAcCZZCj4ck3Vdx/view?usp=drive_link" TargetMode="External"/><Relationship Id="rId23" Type="http://schemas.openxmlformats.org/officeDocument/2006/relationships/hyperlink" Target="https://drive.google.com/file/d/1bAkEKf2sXSVYH5o03ggefmoFuyoSOyN0/view?usp=drive_link" TargetMode="External"/><Relationship Id="rId28" Type="http://schemas.openxmlformats.org/officeDocument/2006/relationships/hyperlink" Target="https://drive.google.com/file/d/1s5dBXUXl69musBkpTWwf8yl8GnwheVJw/view?usp=drive_link" TargetMode="External"/><Relationship Id="rId10" Type="http://schemas.openxmlformats.org/officeDocument/2006/relationships/hyperlink" Target="https://drive.google.com/file/d/1sn7qekv9GzJ-UyteC5aSDF9FapVSJauC/view?usp=drive_link" TargetMode="External"/><Relationship Id="rId19" Type="http://schemas.openxmlformats.org/officeDocument/2006/relationships/hyperlink" Target="https://drive.google.com/file/d/1I3WzgxxYuqw2mdZSAMzOvfz1G82feucc/view?usp=drive_link" TargetMode="External"/><Relationship Id="rId4" Type="http://schemas.openxmlformats.org/officeDocument/2006/relationships/hyperlink" Target="https://drive.google.com/file/d/1Z9XEN6FbEyl-BDKsn0qyvnq5vpun7eOV/view?usp=drive_link" TargetMode="External"/><Relationship Id="rId9" Type="http://schemas.openxmlformats.org/officeDocument/2006/relationships/hyperlink" Target="https://drive.google.com/file/d/1gwqoZmkfU_gj0de-AJqOOQ6lirYVO75g/view?usp=drive_link" TargetMode="External"/><Relationship Id="rId14" Type="http://schemas.openxmlformats.org/officeDocument/2006/relationships/hyperlink" Target="https://drive.google.com/file/d/1h1fyLW8wZEwkeJ-xJBAcCZZCj4ck3Vdx/view?usp=drive_link" TargetMode="External"/><Relationship Id="rId22" Type="http://schemas.openxmlformats.org/officeDocument/2006/relationships/hyperlink" Target="https://drive.google.com/file/d/1GPStfNDztqJO1EsgJsHqYcaVvPEhtK7U/view?usp=drive_link" TargetMode="External"/><Relationship Id="rId27" Type="http://schemas.openxmlformats.org/officeDocument/2006/relationships/hyperlink" Target="https://drive.google.com/file/d/1znpN3pOLNI1PErNqaMW86OgOqojT-Ks4/view?usp=drive_link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sn7qekv9GzJ-UyteC5aSDF9FapVSJauC/view?usp=drive_link" TargetMode="External"/><Relationship Id="rId13" Type="http://schemas.openxmlformats.org/officeDocument/2006/relationships/hyperlink" Target="https://drive.google.com/file/d/147V_9s_KLVY-PvfWUhUdqNfhsIG7epag/view?usp=drive_link" TargetMode="External"/><Relationship Id="rId18" Type="http://schemas.openxmlformats.org/officeDocument/2006/relationships/hyperlink" Target="https://drive.google.com/file/d/1znpN3pOLNI1PErNqaMW86OgOqojT-Ks4/view?usp=drive_link" TargetMode="External"/><Relationship Id="rId3" Type="http://schemas.openxmlformats.org/officeDocument/2006/relationships/hyperlink" Target="https://drive.google.com/file/d/1peT5L0caTOnwmC3veYI73M_Ys2qka4Ou/view?usp=drive_link" TargetMode="External"/><Relationship Id="rId21" Type="http://schemas.openxmlformats.org/officeDocument/2006/relationships/hyperlink" Target="https://drive.google.com/file/d/1s5dBXUXl69musBkpTWwf8yl8GnwheVJw/view?usp=drive_link" TargetMode="External"/><Relationship Id="rId7" Type="http://schemas.openxmlformats.org/officeDocument/2006/relationships/hyperlink" Target="https://drive.google.com/file/d/1sn7qekv9GzJ-UyteC5aSDF9FapVSJauC/view?usp=drive_link" TargetMode="External"/><Relationship Id="rId12" Type="http://schemas.openxmlformats.org/officeDocument/2006/relationships/hyperlink" Target="https://drive.google.com/file/d/1F_uva9znJmdGb7ZP6qzjjALlyPSjOhqK/view?usp=drive_link" TargetMode="External"/><Relationship Id="rId17" Type="http://schemas.openxmlformats.org/officeDocument/2006/relationships/hyperlink" Target="https://drive.google.com/file/d/1znpN3pOLNI1PErNqaMW86OgOqojT-Ks4/view?usp=drive_link" TargetMode="External"/><Relationship Id="rId2" Type="http://schemas.openxmlformats.org/officeDocument/2006/relationships/hyperlink" Target="https://drive.google.com/file/d/1Z9XEN6FbEyl-BDKsn0qyvnq5vpun7eOV/view?usp=drive_link" TargetMode="External"/><Relationship Id="rId16" Type="http://schemas.openxmlformats.org/officeDocument/2006/relationships/hyperlink" Target="https://drive.google.com/file/d/1F_uva9znJmdGb7ZP6qzjjALlyPSjOhqK/view?usp=drive_link" TargetMode="External"/><Relationship Id="rId20" Type="http://schemas.openxmlformats.org/officeDocument/2006/relationships/hyperlink" Target="https://drive.google.com/file/d/1s5dBXUXl69musBkpTWwf8yl8GnwheVJw/view?usp=drive_link" TargetMode="External"/><Relationship Id="rId1" Type="http://schemas.openxmlformats.org/officeDocument/2006/relationships/hyperlink" Target="https://drive.google.com/file/d/1LLSM-RLMELDccZfcZBp-7fy0DJJZAB7p/view?usp=drive_link" TargetMode="External"/><Relationship Id="rId6" Type="http://schemas.openxmlformats.org/officeDocument/2006/relationships/hyperlink" Target="https://drive.google.com/file/d/1iGbeFUDxqkB_7Tt1qdPdpbXodDefe88a/view?usp=drive_link" TargetMode="External"/><Relationship Id="rId11" Type="http://schemas.openxmlformats.org/officeDocument/2006/relationships/hyperlink" Target="https://drive.google.com/file/d/1h1fyLW8wZEwkeJ-xJBAcCZZCj4ck3Vdx/view?usp=drive_link" TargetMode="External"/><Relationship Id="rId5" Type="http://schemas.openxmlformats.org/officeDocument/2006/relationships/hyperlink" Target="https://drive.google.com/file/d/1Ts0Ryr3q-F_FB4sYLQys7Lkr3V7YPbKJ/view?usp=drive_link" TargetMode="External"/><Relationship Id="rId15" Type="http://schemas.openxmlformats.org/officeDocument/2006/relationships/hyperlink" Target="https://drive.google.com/file/d/1bAkEKf2sXSVYH5o03ggefmoFuyoSOyN0/view?usp=drive_link" TargetMode="External"/><Relationship Id="rId10" Type="http://schemas.openxmlformats.org/officeDocument/2006/relationships/hyperlink" Target="https://drive.google.com/file/d/1-tUGfqLWQUF924c1xFRWG6GUxoKq5bi4/view?usp=drive_link" TargetMode="External"/><Relationship Id="rId19" Type="http://schemas.openxmlformats.org/officeDocument/2006/relationships/hyperlink" Target="https://drive.google.com/file/d/1znpN3pOLNI1PErNqaMW86OgOqojT-Ks4/view?usp=drive_link" TargetMode="External"/><Relationship Id="rId4" Type="http://schemas.openxmlformats.org/officeDocument/2006/relationships/hyperlink" Target="https://drive.google.com/file/d/1mh5h6HHJq8NxPhUhFN_58r8AY_13J8w1/view?usp=drive_link" TargetMode="External"/><Relationship Id="rId9" Type="http://schemas.openxmlformats.org/officeDocument/2006/relationships/hyperlink" Target="https://drive.google.com/file/d/1sn7qekv9GzJ-UyteC5aSDF9FapVSJauC/view?usp=drive_link" TargetMode="External"/><Relationship Id="rId14" Type="http://schemas.openxmlformats.org/officeDocument/2006/relationships/hyperlink" Target="https://drive.google.com/file/d/108wrnVbBhg1ioXarS2upmWit8pImni1u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othob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H5"/>
  <sheetViews>
    <sheetView workbookViewId="0"/>
  </sheetViews>
  <sheetFormatPr defaultColWidth="12.6328125" defaultRowHeight="15.75" customHeight="1"/>
  <cols>
    <col min="8" max="8" width="50.6328125" customWidth="1"/>
  </cols>
  <sheetData>
    <row r="5" spans="8:8" ht="15.75" customHeight="1">
      <c r="H5" s="6" t="s">
        <v>0</v>
      </c>
    </row>
  </sheetData>
  <hyperlinks>
    <hyperlink ref="H5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2:J14"/>
  <sheetViews>
    <sheetView workbookViewId="0"/>
  </sheetViews>
  <sheetFormatPr defaultColWidth="12.6328125" defaultRowHeight="15.75" customHeight="1"/>
  <sheetData>
    <row r="12" spans="2:10" ht="15.75" customHeight="1">
      <c r="B12" s="7"/>
    </row>
    <row r="14" spans="2:10" ht="15.75" customHeight="1">
      <c r="J14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/>
  </sheetViews>
  <sheetFormatPr defaultColWidth="12.6328125" defaultRowHeight="15.75" customHeight="1"/>
  <cols>
    <col min="2" max="2" width="24.26953125" customWidth="1"/>
    <col min="3" max="3" width="51.453125" customWidth="1"/>
  </cols>
  <sheetData>
    <row r="1" spans="1:3" ht="13">
      <c r="A1" s="1" t="s">
        <v>1</v>
      </c>
      <c r="B1" s="2" t="s">
        <v>2</v>
      </c>
      <c r="C1" s="1" t="s">
        <v>3</v>
      </c>
    </row>
    <row r="2" spans="1:3" ht="15.75" customHeight="1">
      <c r="A2" s="3" t="s">
        <v>4</v>
      </c>
      <c r="B2" s="4" t="s">
        <v>5</v>
      </c>
      <c r="C2" s="5" t="s">
        <v>6</v>
      </c>
    </row>
    <row r="3" spans="1:3" ht="15.75" customHeight="1">
      <c r="A3" s="3" t="s">
        <v>7</v>
      </c>
      <c r="B3" s="4" t="s">
        <v>8</v>
      </c>
      <c r="C3" s="5" t="s">
        <v>9</v>
      </c>
    </row>
    <row r="4" spans="1:3" ht="15.75" customHeight="1">
      <c r="A4" s="3" t="s">
        <v>10</v>
      </c>
      <c r="B4" s="4" t="s">
        <v>11</v>
      </c>
      <c r="C4" s="5" t="s">
        <v>12</v>
      </c>
    </row>
    <row r="5" spans="1:3" ht="15.75" customHeight="1">
      <c r="A5" s="3" t="s">
        <v>13</v>
      </c>
      <c r="B5" s="4" t="s">
        <v>14</v>
      </c>
      <c r="C5" s="5" t="s">
        <v>15</v>
      </c>
    </row>
    <row r="6" spans="1:3" ht="15.75" customHeight="1">
      <c r="A6" s="3" t="s">
        <v>16</v>
      </c>
      <c r="B6" s="4" t="s">
        <v>17</v>
      </c>
      <c r="C6" s="5" t="s">
        <v>18</v>
      </c>
    </row>
    <row r="7" spans="1:3" ht="15.75" customHeight="1">
      <c r="A7" s="3" t="s">
        <v>19</v>
      </c>
      <c r="B7" s="4" t="s">
        <v>20</v>
      </c>
      <c r="C7" s="5" t="s">
        <v>21</v>
      </c>
    </row>
    <row r="8" spans="1:3" ht="15.75" customHeight="1">
      <c r="A8" s="3" t="s">
        <v>22</v>
      </c>
      <c r="B8" s="4" t="s">
        <v>23</v>
      </c>
      <c r="C8" s="5" t="s">
        <v>24</v>
      </c>
    </row>
    <row r="9" spans="1:3" ht="15.75" customHeight="1">
      <c r="A9" s="3" t="s">
        <v>25</v>
      </c>
      <c r="B9" s="4" t="s">
        <v>26</v>
      </c>
      <c r="C9" s="5" t="s">
        <v>27</v>
      </c>
    </row>
    <row r="10" spans="1:3" ht="15.75" customHeight="1">
      <c r="A10" s="3" t="s">
        <v>28</v>
      </c>
      <c r="B10" s="4" t="s">
        <v>29</v>
      </c>
      <c r="C10" s="5" t="s">
        <v>30</v>
      </c>
    </row>
    <row r="11" spans="1:3" ht="15.75" customHeight="1">
      <c r="A11" s="3" t="s">
        <v>31</v>
      </c>
      <c r="B11" s="4" t="s">
        <v>32</v>
      </c>
      <c r="C11" s="5" t="s">
        <v>33</v>
      </c>
    </row>
    <row r="12" spans="1:3" ht="15.75" customHeight="1">
      <c r="A12" s="3" t="s">
        <v>34</v>
      </c>
      <c r="B12" s="4" t="s">
        <v>35</v>
      </c>
      <c r="C12" s="5" t="s">
        <v>36</v>
      </c>
    </row>
    <row r="13" spans="1:3" ht="15.75" customHeight="1">
      <c r="A13" s="3" t="s">
        <v>37</v>
      </c>
      <c r="B13" s="4" t="s">
        <v>38</v>
      </c>
      <c r="C13" s="5" t="s">
        <v>39</v>
      </c>
    </row>
    <row r="14" spans="1:3" ht="15.75" customHeight="1">
      <c r="A14" s="3" t="s">
        <v>40</v>
      </c>
      <c r="B14" s="4" t="s">
        <v>41</v>
      </c>
      <c r="C14" s="5" t="s">
        <v>42</v>
      </c>
    </row>
    <row r="15" spans="1:3" ht="15.75" customHeight="1">
      <c r="A15" s="3" t="s">
        <v>43</v>
      </c>
      <c r="B15" s="4" t="s">
        <v>44</v>
      </c>
      <c r="C15" s="5" t="s">
        <v>45</v>
      </c>
    </row>
    <row r="16" spans="1:3" ht="15.75" customHeight="1">
      <c r="A16" s="3" t="s">
        <v>46</v>
      </c>
      <c r="B16" s="4" t="s">
        <v>47</v>
      </c>
      <c r="C16" s="5" t="s">
        <v>48</v>
      </c>
    </row>
    <row r="17" spans="1:3" ht="15.75" customHeight="1">
      <c r="A17" s="3" t="s">
        <v>49</v>
      </c>
      <c r="B17" s="4" t="s">
        <v>50</v>
      </c>
      <c r="C17" s="5" t="s">
        <v>51</v>
      </c>
    </row>
    <row r="18" spans="1:3" ht="15.75" customHeight="1">
      <c r="A18" s="3" t="s">
        <v>52</v>
      </c>
      <c r="B18" s="4" t="s">
        <v>53</v>
      </c>
      <c r="C18" s="5" t="s">
        <v>54</v>
      </c>
    </row>
    <row r="19" spans="1:3" ht="15.75" customHeight="1">
      <c r="A19" s="3" t="s">
        <v>55</v>
      </c>
      <c r="B19" s="4" t="s">
        <v>56</v>
      </c>
      <c r="C19" s="5" t="s">
        <v>57</v>
      </c>
    </row>
    <row r="20" spans="1:3" ht="12.5">
      <c r="A20" s="3"/>
      <c r="B20" s="4"/>
    </row>
    <row r="21" spans="1:3" ht="12.5">
      <c r="A21" s="3"/>
      <c r="B21" s="4"/>
    </row>
    <row r="22" spans="1:3" ht="12.5">
      <c r="A22" s="3"/>
      <c r="B22" s="4"/>
    </row>
    <row r="23" spans="1:3" ht="12.5">
      <c r="A23" s="3"/>
      <c r="B23" s="4"/>
    </row>
    <row r="24" spans="1:3" ht="12.5">
      <c r="A24" s="3"/>
      <c r="B24" s="4"/>
    </row>
    <row r="25" spans="1:3" ht="12.5">
      <c r="A25" s="3"/>
      <c r="B25" s="4"/>
    </row>
    <row r="26" spans="1:3" ht="12.5">
      <c r="A26" s="3"/>
      <c r="B26" s="4"/>
    </row>
    <row r="27" spans="1:3" ht="12.5">
      <c r="A27" s="3"/>
      <c r="B27" s="4"/>
    </row>
    <row r="28" spans="1:3" ht="12.5">
      <c r="A28" s="3"/>
      <c r="B28" s="4"/>
    </row>
    <row r="29" spans="1:3" ht="12.5">
      <c r="A29" s="3"/>
      <c r="B29" s="4"/>
    </row>
    <row r="30" spans="1:3" ht="12.5">
      <c r="A30" s="3"/>
      <c r="B30" s="4"/>
    </row>
    <row r="31" spans="1:3" ht="12.5">
      <c r="A31" s="3"/>
      <c r="B31" s="4"/>
    </row>
    <row r="32" spans="1:3" ht="12.5">
      <c r="A32" s="3"/>
      <c r="B32" s="4"/>
    </row>
    <row r="33" spans="1:2" ht="12.5">
      <c r="A33" s="3"/>
      <c r="B33" s="4"/>
    </row>
    <row r="34" spans="1:2" ht="12.5">
      <c r="A34" s="3"/>
      <c r="B34" s="4"/>
    </row>
    <row r="35" spans="1:2" ht="12.5">
      <c r="A35" s="3"/>
      <c r="B35" s="4"/>
    </row>
    <row r="36" spans="1:2" ht="12.5">
      <c r="A36" s="3"/>
      <c r="B36" s="4"/>
    </row>
    <row r="37" spans="1:2" ht="12.5">
      <c r="A37" s="3"/>
      <c r="B37" s="4"/>
    </row>
    <row r="38" spans="1:2" ht="12.5">
      <c r="A38" s="3"/>
      <c r="B38" s="4"/>
    </row>
    <row r="39" spans="1:2" ht="12.5">
      <c r="A39" s="3"/>
      <c r="B39" s="4"/>
    </row>
    <row r="40" spans="1:2" ht="12.5">
      <c r="A40" s="3"/>
      <c r="B40" s="4"/>
    </row>
    <row r="41" spans="1:2" ht="12.5">
      <c r="A41" s="3"/>
      <c r="B41" s="4"/>
    </row>
    <row r="42" spans="1:2" ht="12.5">
      <c r="A42" s="3"/>
      <c r="B42" s="4"/>
    </row>
    <row r="43" spans="1:2" ht="12.5">
      <c r="A43" s="3"/>
      <c r="B43" s="4"/>
    </row>
    <row r="44" spans="1:2" ht="12.5">
      <c r="A44" s="3"/>
      <c r="B44" s="4"/>
    </row>
    <row r="45" spans="1:2" ht="12.5">
      <c r="A45" s="3"/>
      <c r="B45" s="4"/>
    </row>
    <row r="46" spans="1:2" ht="12.5">
      <c r="A46" s="3"/>
      <c r="B46" s="4"/>
    </row>
    <row r="47" spans="1:2" ht="12.5">
      <c r="A47" s="3"/>
      <c r="B47" s="4"/>
    </row>
    <row r="48" spans="1:2" ht="12.5">
      <c r="A48" s="3"/>
      <c r="B48" s="4"/>
    </row>
    <row r="49" spans="1:2" ht="12.5">
      <c r="A49" s="3"/>
      <c r="B49" s="4"/>
    </row>
    <row r="50" spans="1:2" ht="12.5">
      <c r="A50" s="3"/>
      <c r="B50" s="4"/>
    </row>
    <row r="51" spans="1:2" ht="12.5">
      <c r="A51" s="3"/>
      <c r="B51" s="4"/>
    </row>
    <row r="52" spans="1:2" ht="12.5">
      <c r="A52" s="3"/>
      <c r="B52" s="4"/>
    </row>
    <row r="53" spans="1:2" ht="12.5">
      <c r="A53" s="3"/>
      <c r="B53" s="4"/>
    </row>
    <row r="54" spans="1:2" ht="12.5">
      <c r="A54" s="3"/>
      <c r="B54" s="4"/>
    </row>
    <row r="55" spans="1:2" ht="12.5">
      <c r="A55" s="3"/>
      <c r="B55" s="4"/>
    </row>
    <row r="56" spans="1:2" ht="12.5">
      <c r="A56" s="3"/>
      <c r="B56" s="4"/>
    </row>
    <row r="57" spans="1:2" ht="12.5">
      <c r="A57" s="3"/>
      <c r="B57" s="4"/>
    </row>
    <row r="58" spans="1:2" ht="12.5">
      <c r="A58" s="3"/>
      <c r="B58" s="4"/>
    </row>
    <row r="59" spans="1:2" ht="12.5">
      <c r="A59" s="3"/>
      <c r="B59" s="4"/>
    </row>
    <row r="60" spans="1:2" ht="12.5">
      <c r="A60" s="3"/>
      <c r="B60" s="4"/>
    </row>
    <row r="61" spans="1:2" ht="12.5">
      <c r="A61" s="3"/>
      <c r="B61" s="4"/>
    </row>
    <row r="62" spans="1:2" ht="12.5">
      <c r="A62" s="3"/>
      <c r="B62" s="4"/>
    </row>
    <row r="63" spans="1:2" ht="12.5">
      <c r="A63" s="3"/>
      <c r="B63" s="4"/>
    </row>
    <row r="64" spans="1:2" ht="12.5">
      <c r="A64" s="3"/>
      <c r="B64" s="4"/>
    </row>
    <row r="65" spans="1:2" ht="12.5">
      <c r="A65" s="3"/>
      <c r="B65" s="4"/>
    </row>
    <row r="66" spans="1:2" ht="12.5">
      <c r="A66" s="3"/>
      <c r="B66" s="4"/>
    </row>
    <row r="67" spans="1:2" ht="12.5">
      <c r="A67" s="3"/>
      <c r="B67" s="4"/>
    </row>
    <row r="68" spans="1:2" ht="12.5">
      <c r="A68" s="3"/>
      <c r="B68" s="4"/>
    </row>
    <row r="69" spans="1:2" ht="12.5">
      <c r="A69" s="3"/>
      <c r="B69" s="4"/>
    </row>
    <row r="70" spans="1:2" ht="12.5">
      <c r="A70" s="3"/>
      <c r="B70" s="4"/>
    </row>
    <row r="71" spans="1:2" ht="12.5">
      <c r="A71" s="3"/>
      <c r="B71" s="4"/>
    </row>
    <row r="72" spans="1:2" ht="12.5">
      <c r="A72" s="3"/>
      <c r="B72" s="4"/>
    </row>
    <row r="73" spans="1:2" ht="12.5">
      <c r="A73" s="3"/>
      <c r="B73" s="4"/>
    </row>
    <row r="74" spans="1:2" ht="12.5">
      <c r="A74" s="3"/>
      <c r="B74" s="4"/>
    </row>
    <row r="75" spans="1:2" ht="12.5">
      <c r="A75" s="3"/>
      <c r="B75" s="4"/>
    </row>
    <row r="76" spans="1:2" ht="12.5">
      <c r="A76" s="3"/>
      <c r="B76" s="4"/>
    </row>
    <row r="77" spans="1:2" ht="12.5">
      <c r="A77" s="3"/>
      <c r="B77" s="4"/>
    </row>
    <row r="78" spans="1:2" ht="12.5">
      <c r="A78" s="3"/>
      <c r="B78" s="4"/>
    </row>
    <row r="79" spans="1:2" ht="12.5">
      <c r="A79" s="3"/>
      <c r="B79" s="4"/>
    </row>
    <row r="80" spans="1:2" ht="12.5">
      <c r="A80" s="3"/>
      <c r="B80" s="4"/>
    </row>
    <row r="81" spans="1:2" ht="12.5">
      <c r="A81" s="3"/>
      <c r="B81" s="4"/>
    </row>
    <row r="82" spans="1:2" ht="12.5">
      <c r="A82" s="3"/>
      <c r="B82" s="4"/>
    </row>
    <row r="83" spans="1:2" ht="12.5">
      <c r="A83" s="3"/>
      <c r="B83" s="4"/>
    </row>
    <row r="84" spans="1:2" ht="12.5">
      <c r="A84" s="3"/>
      <c r="B84" s="4"/>
    </row>
    <row r="85" spans="1:2" ht="12.5">
      <c r="A85" s="3"/>
      <c r="B85" s="4"/>
    </row>
    <row r="86" spans="1:2" ht="12.5">
      <c r="A86" s="3"/>
      <c r="B86" s="4"/>
    </row>
    <row r="87" spans="1:2" ht="12.5">
      <c r="A87" s="3"/>
      <c r="B87" s="4"/>
    </row>
    <row r="88" spans="1:2" ht="12.5">
      <c r="A88" s="3"/>
      <c r="B88" s="4"/>
    </row>
    <row r="89" spans="1:2" ht="12.5">
      <c r="A89" s="3"/>
      <c r="B89" s="4"/>
    </row>
    <row r="90" spans="1:2" ht="12.5">
      <c r="A90" s="3"/>
      <c r="B90" s="4"/>
    </row>
    <row r="91" spans="1:2" ht="12.5">
      <c r="A91" s="3"/>
      <c r="B91" s="4"/>
    </row>
    <row r="92" spans="1:2" ht="12.5">
      <c r="A92" s="3"/>
      <c r="B92" s="4"/>
    </row>
    <row r="93" spans="1:2" ht="12.5">
      <c r="A93" s="3"/>
      <c r="B93" s="4"/>
    </row>
    <row r="94" spans="1:2" ht="12.5">
      <c r="A94" s="3"/>
      <c r="B94" s="4"/>
    </row>
    <row r="95" spans="1:2" ht="12.5">
      <c r="A95" s="3"/>
      <c r="B95" s="4"/>
    </row>
    <row r="96" spans="1:2" ht="12.5">
      <c r="A96" s="3"/>
      <c r="B96" s="4"/>
    </row>
    <row r="97" spans="1:2" ht="12.5">
      <c r="A97" s="3"/>
      <c r="B97" s="4"/>
    </row>
    <row r="98" spans="1:2" ht="12.5">
      <c r="A98" s="3"/>
      <c r="B98" s="4"/>
    </row>
    <row r="99" spans="1:2" ht="12.5">
      <c r="A99" s="3"/>
      <c r="B99" s="4"/>
    </row>
    <row r="100" spans="1:2" ht="12.5">
      <c r="A100" s="3"/>
      <c r="B100" s="4"/>
    </row>
    <row r="101" spans="1:2" ht="12.5">
      <c r="A101" s="3"/>
      <c r="B101" s="4"/>
    </row>
    <row r="102" spans="1:2" ht="12.5">
      <c r="A102" s="3"/>
      <c r="B102" s="4"/>
    </row>
    <row r="103" spans="1:2" ht="12.5">
      <c r="A103" s="3"/>
      <c r="B103" s="4"/>
    </row>
    <row r="104" spans="1:2" ht="12.5">
      <c r="A104" s="3"/>
      <c r="B104" s="4"/>
    </row>
    <row r="105" spans="1:2" ht="12.5">
      <c r="A105" s="3"/>
      <c r="B105" s="4"/>
    </row>
    <row r="106" spans="1:2" ht="12.5">
      <c r="A106" s="3"/>
      <c r="B106" s="4"/>
    </row>
    <row r="107" spans="1:2" ht="12.5">
      <c r="A107" s="3"/>
      <c r="B107" s="4"/>
    </row>
    <row r="108" spans="1:2" ht="12.5">
      <c r="A108" s="3"/>
      <c r="B108" s="4"/>
    </row>
    <row r="109" spans="1:2" ht="12.5">
      <c r="A109" s="3"/>
      <c r="B109" s="4"/>
    </row>
    <row r="110" spans="1:2" ht="12.5">
      <c r="A110" s="3"/>
      <c r="B110" s="4"/>
    </row>
    <row r="111" spans="1:2" ht="12.5">
      <c r="A111" s="3"/>
      <c r="B111" s="4"/>
    </row>
    <row r="112" spans="1:2" ht="12.5">
      <c r="A112" s="3"/>
      <c r="B112" s="4"/>
    </row>
    <row r="113" spans="1:2" ht="12.5">
      <c r="A113" s="3"/>
      <c r="B113" s="4"/>
    </row>
    <row r="114" spans="1:2" ht="12.5">
      <c r="A114" s="3"/>
      <c r="B114" s="4"/>
    </row>
    <row r="115" spans="1:2" ht="12.5">
      <c r="A115" s="3"/>
      <c r="B115" s="4"/>
    </row>
    <row r="116" spans="1:2" ht="12.5">
      <c r="A116" s="3"/>
      <c r="B116" s="4"/>
    </row>
    <row r="117" spans="1:2" ht="12.5">
      <c r="A117" s="3"/>
      <c r="B117" s="4"/>
    </row>
    <row r="118" spans="1:2" ht="12.5">
      <c r="A118" s="3"/>
      <c r="B118" s="4"/>
    </row>
    <row r="119" spans="1:2" ht="12.5">
      <c r="A119" s="3"/>
      <c r="B119" s="4"/>
    </row>
    <row r="120" spans="1:2" ht="12.5">
      <c r="A120" s="3"/>
      <c r="B120" s="4"/>
    </row>
    <row r="121" spans="1:2" ht="12.5">
      <c r="A121" s="3"/>
      <c r="B121" s="4"/>
    </row>
    <row r="122" spans="1:2" ht="12.5">
      <c r="A122" s="3"/>
      <c r="B122" s="4"/>
    </row>
    <row r="123" spans="1:2" ht="12.5">
      <c r="A123" s="3"/>
      <c r="B123" s="4"/>
    </row>
    <row r="124" spans="1:2" ht="12.5">
      <c r="A124" s="3"/>
      <c r="B124" s="4"/>
    </row>
    <row r="125" spans="1:2" ht="12.5">
      <c r="A125" s="3"/>
      <c r="B125" s="4"/>
    </row>
    <row r="126" spans="1:2" ht="12.5">
      <c r="A126" s="3"/>
      <c r="B126" s="4"/>
    </row>
    <row r="127" spans="1:2" ht="12.5">
      <c r="A127" s="3"/>
      <c r="B127" s="4"/>
    </row>
    <row r="128" spans="1:2" ht="12.5">
      <c r="A128" s="3"/>
      <c r="B128" s="4"/>
    </row>
    <row r="129" spans="1:2" ht="12.5">
      <c r="A129" s="3"/>
      <c r="B129" s="4"/>
    </row>
    <row r="130" spans="1:2" ht="12.5">
      <c r="A130" s="3"/>
      <c r="B130" s="4"/>
    </row>
    <row r="131" spans="1:2" ht="12.5">
      <c r="A131" s="3"/>
      <c r="B131" s="4"/>
    </row>
    <row r="132" spans="1:2" ht="12.5">
      <c r="A132" s="3"/>
      <c r="B132" s="4"/>
    </row>
    <row r="133" spans="1:2" ht="12.5">
      <c r="A133" s="3"/>
      <c r="B133" s="4"/>
    </row>
    <row r="134" spans="1:2" ht="12.5">
      <c r="A134" s="3"/>
      <c r="B134" s="4"/>
    </row>
    <row r="135" spans="1:2" ht="12.5">
      <c r="A135" s="3"/>
      <c r="B135" s="4"/>
    </row>
    <row r="136" spans="1:2" ht="12.5">
      <c r="A136" s="3"/>
      <c r="B136" s="4"/>
    </row>
    <row r="137" spans="1:2" ht="12.5">
      <c r="A137" s="3"/>
      <c r="B137" s="4"/>
    </row>
    <row r="138" spans="1:2" ht="12.5">
      <c r="A138" s="3"/>
      <c r="B138" s="4"/>
    </row>
    <row r="139" spans="1:2" ht="12.5">
      <c r="A139" s="3"/>
      <c r="B139" s="4"/>
    </row>
    <row r="140" spans="1:2" ht="12.5">
      <c r="A140" s="3"/>
      <c r="B140" s="4"/>
    </row>
    <row r="141" spans="1:2" ht="12.5">
      <c r="A141" s="3"/>
      <c r="B141" s="4"/>
    </row>
    <row r="142" spans="1:2" ht="12.5">
      <c r="A142" s="3"/>
      <c r="B142" s="4"/>
    </row>
    <row r="143" spans="1:2" ht="12.5">
      <c r="A143" s="3"/>
      <c r="B143" s="4"/>
    </row>
    <row r="144" spans="1:2" ht="12.5">
      <c r="A144" s="3"/>
      <c r="B144" s="4"/>
    </row>
    <row r="145" spans="1:2" ht="12.5">
      <c r="A145" s="3"/>
      <c r="B145" s="4"/>
    </row>
    <row r="146" spans="1:2" ht="12.5">
      <c r="A146" s="3"/>
      <c r="B146" s="4"/>
    </row>
    <row r="147" spans="1:2" ht="12.5">
      <c r="A147" s="3"/>
      <c r="B147" s="4"/>
    </row>
    <row r="148" spans="1:2" ht="12.5">
      <c r="A148" s="3"/>
      <c r="B148" s="4"/>
    </row>
    <row r="149" spans="1:2" ht="12.5">
      <c r="A149" s="3"/>
      <c r="B149" s="4"/>
    </row>
    <row r="150" spans="1:2" ht="12.5">
      <c r="A150" s="3"/>
      <c r="B150" s="4"/>
    </row>
    <row r="151" spans="1:2" ht="12.5">
      <c r="A151" s="3"/>
      <c r="B151" s="4"/>
    </row>
    <row r="152" spans="1:2" ht="12.5">
      <c r="A152" s="3"/>
      <c r="B152" s="4"/>
    </row>
    <row r="153" spans="1:2" ht="12.5">
      <c r="A153" s="3"/>
      <c r="B153" s="4"/>
    </row>
    <row r="154" spans="1:2" ht="12.5">
      <c r="A154" s="3"/>
      <c r="B154" s="4"/>
    </row>
    <row r="155" spans="1:2" ht="12.5">
      <c r="A155" s="3"/>
      <c r="B155" s="4"/>
    </row>
    <row r="156" spans="1:2" ht="12.5">
      <c r="A156" s="3"/>
      <c r="B156" s="4"/>
    </row>
    <row r="157" spans="1:2" ht="12.5">
      <c r="A157" s="3"/>
      <c r="B157" s="4"/>
    </row>
    <row r="158" spans="1:2" ht="12.5">
      <c r="A158" s="3"/>
      <c r="B158" s="4"/>
    </row>
    <row r="159" spans="1:2" ht="12.5">
      <c r="A159" s="3"/>
      <c r="B159" s="4"/>
    </row>
    <row r="160" spans="1:2" ht="12.5">
      <c r="A160" s="3"/>
      <c r="B160" s="4"/>
    </row>
    <row r="161" spans="1:2" ht="12.5">
      <c r="A161" s="3"/>
      <c r="B161" s="4"/>
    </row>
    <row r="162" spans="1:2" ht="12.5">
      <c r="A162" s="3"/>
      <c r="B162" s="4"/>
    </row>
    <row r="163" spans="1:2" ht="12.5">
      <c r="A163" s="3"/>
      <c r="B163" s="4"/>
    </row>
    <row r="164" spans="1:2" ht="12.5">
      <c r="A164" s="3"/>
      <c r="B164" s="4"/>
    </row>
    <row r="165" spans="1:2" ht="12.5">
      <c r="A165" s="3"/>
      <c r="B165" s="4"/>
    </row>
    <row r="166" spans="1:2" ht="12.5">
      <c r="A166" s="3"/>
      <c r="B166" s="4"/>
    </row>
    <row r="167" spans="1:2" ht="12.5">
      <c r="A167" s="3"/>
      <c r="B167" s="4"/>
    </row>
    <row r="168" spans="1:2" ht="12.5">
      <c r="A168" s="3"/>
      <c r="B168" s="4"/>
    </row>
    <row r="169" spans="1:2" ht="12.5">
      <c r="A169" s="3"/>
      <c r="B169" s="4"/>
    </row>
    <row r="170" spans="1:2" ht="12.5">
      <c r="A170" s="3"/>
      <c r="B170" s="4"/>
    </row>
    <row r="171" spans="1:2" ht="12.5">
      <c r="A171" s="3"/>
      <c r="B171" s="4"/>
    </row>
    <row r="172" spans="1:2" ht="12.5">
      <c r="A172" s="3"/>
      <c r="B172" s="4"/>
    </row>
    <row r="173" spans="1:2" ht="12.5">
      <c r="A173" s="3"/>
      <c r="B173" s="4"/>
    </row>
    <row r="174" spans="1:2" ht="12.5">
      <c r="A174" s="3"/>
      <c r="B174" s="4"/>
    </row>
    <row r="175" spans="1:2" ht="12.5">
      <c r="A175" s="3"/>
      <c r="B175" s="4"/>
    </row>
    <row r="176" spans="1:2" ht="12.5">
      <c r="A176" s="3"/>
      <c r="B176" s="4"/>
    </row>
    <row r="177" spans="1:2" ht="12.5">
      <c r="A177" s="3"/>
      <c r="B177" s="4"/>
    </row>
    <row r="178" spans="1:2" ht="12.5">
      <c r="A178" s="3"/>
      <c r="B178" s="4"/>
    </row>
    <row r="179" spans="1:2" ht="12.5">
      <c r="A179" s="3"/>
      <c r="B179" s="4"/>
    </row>
    <row r="180" spans="1:2" ht="12.5">
      <c r="A180" s="3"/>
      <c r="B180" s="4"/>
    </row>
    <row r="181" spans="1:2" ht="12.5">
      <c r="A181" s="3"/>
      <c r="B181" s="4"/>
    </row>
    <row r="182" spans="1:2" ht="12.5">
      <c r="A182" s="3"/>
      <c r="B182" s="4"/>
    </row>
    <row r="183" spans="1:2" ht="12.5">
      <c r="A183" s="3"/>
      <c r="B183" s="4"/>
    </row>
    <row r="184" spans="1:2" ht="12.5">
      <c r="A184" s="3"/>
      <c r="B184" s="4"/>
    </row>
    <row r="185" spans="1:2" ht="12.5">
      <c r="A185" s="3"/>
      <c r="B185" s="4"/>
    </row>
    <row r="186" spans="1:2" ht="12.5">
      <c r="A186" s="3"/>
      <c r="B186" s="4"/>
    </row>
    <row r="187" spans="1:2" ht="12.5">
      <c r="A187" s="3"/>
      <c r="B187" s="4"/>
    </row>
    <row r="188" spans="1:2" ht="12.5">
      <c r="A188" s="3"/>
      <c r="B188" s="4"/>
    </row>
    <row r="189" spans="1:2" ht="12.5">
      <c r="A189" s="3"/>
      <c r="B189" s="4"/>
    </row>
    <row r="190" spans="1:2" ht="12.5">
      <c r="A190" s="3"/>
      <c r="B190" s="4"/>
    </row>
    <row r="191" spans="1:2" ht="12.5">
      <c r="A191" s="3"/>
      <c r="B191" s="4"/>
    </row>
    <row r="192" spans="1:2" ht="12.5">
      <c r="A192" s="3"/>
      <c r="B192" s="4"/>
    </row>
    <row r="193" spans="1:2" ht="12.5">
      <c r="A193" s="3"/>
      <c r="B193" s="4"/>
    </row>
    <row r="194" spans="1:2" ht="12.5">
      <c r="A194" s="3"/>
      <c r="B194" s="4"/>
    </row>
    <row r="195" spans="1:2" ht="12.5">
      <c r="A195" s="3"/>
      <c r="B195" s="4"/>
    </row>
    <row r="196" spans="1:2" ht="12.5">
      <c r="A196" s="3"/>
      <c r="B196" s="4"/>
    </row>
    <row r="197" spans="1:2" ht="12.5">
      <c r="A197" s="3"/>
      <c r="B197" s="4"/>
    </row>
    <row r="198" spans="1:2" ht="12.5">
      <c r="A198" s="3"/>
      <c r="B198" s="4"/>
    </row>
    <row r="199" spans="1:2" ht="12.5">
      <c r="A199" s="3"/>
      <c r="B199" s="4"/>
    </row>
    <row r="200" spans="1:2" ht="12.5">
      <c r="A200" s="3"/>
      <c r="B200" s="4"/>
    </row>
    <row r="201" spans="1:2" ht="12.5">
      <c r="A201" s="3"/>
      <c r="B201" s="4"/>
    </row>
    <row r="202" spans="1:2" ht="12.5">
      <c r="A202" s="3"/>
      <c r="B202" s="4"/>
    </row>
    <row r="203" spans="1:2" ht="12.5">
      <c r="A203" s="3"/>
      <c r="B203" s="4"/>
    </row>
    <row r="204" spans="1:2" ht="12.5">
      <c r="A204" s="3"/>
      <c r="B204" s="4"/>
    </row>
    <row r="205" spans="1:2" ht="12.5">
      <c r="A205" s="3"/>
      <c r="B205" s="4"/>
    </row>
    <row r="206" spans="1:2" ht="12.5">
      <c r="A206" s="3"/>
      <c r="B206" s="4"/>
    </row>
    <row r="207" spans="1:2" ht="12.5">
      <c r="A207" s="3"/>
      <c r="B207" s="4"/>
    </row>
    <row r="208" spans="1:2" ht="12.5">
      <c r="A208" s="3"/>
      <c r="B208" s="4"/>
    </row>
    <row r="209" spans="1:2" ht="12.5">
      <c r="A209" s="3"/>
      <c r="B209" s="4"/>
    </row>
    <row r="210" spans="1:2" ht="12.5">
      <c r="A210" s="3"/>
      <c r="B210" s="4"/>
    </row>
    <row r="211" spans="1:2" ht="12.5">
      <c r="A211" s="3"/>
      <c r="B211" s="4"/>
    </row>
    <row r="212" spans="1:2" ht="12.5">
      <c r="A212" s="3"/>
      <c r="B212" s="4"/>
    </row>
    <row r="213" spans="1:2" ht="12.5">
      <c r="A213" s="3"/>
      <c r="B213" s="4"/>
    </row>
    <row r="214" spans="1:2" ht="12.5">
      <c r="A214" s="3"/>
      <c r="B214" s="4"/>
    </row>
    <row r="215" spans="1:2" ht="12.5">
      <c r="A215" s="3"/>
      <c r="B215" s="4"/>
    </row>
    <row r="216" spans="1:2" ht="12.5">
      <c r="A216" s="3"/>
      <c r="B216" s="4"/>
    </row>
    <row r="217" spans="1:2" ht="12.5">
      <c r="A217" s="3"/>
      <c r="B217" s="4"/>
    </row>
    <row r="218" spans="1:2" ht="12.5">
      <c r="A218" s="3"/>
      <c r="B218" s="4"/>
    </row>
    <row r="219" spans="1:2" ht="12.5">
      <c r="A219" s="3"/>
      <c r="B219" s="4"/>
    </row>
    <row r="220" spans="1:2" ht="12.5">
      <c r="A220" s="3"/>
      <c r="B220" s="4"/>
    </row>
    <row r="221" spans="1:2" ht="12.5">
      <c r="A221" s="3"/>
      <c r="B221" s="4"/>
    </row>
    <row r="222" spans="1:2" ht="12.5">
      <c r="A222" s="3"/>
      <c r="B222" s="4"/>
    </row>
    <row r="223" spans="1:2" ht="12.5">
      <c r="A223" s="3"/>
      <c r="B223" s="4"/>
    </row>
    <row r="224" spans="1:2" ht="12.5">
      <c r="A224" s="3"/>
      <c r="B224" s="4"/>
    </row>
    <row r="225" spans="1:2" ht="12.5">
      <c r="A225" s="3"/>
      <c r="B225" s="4"/>
    </row>
    <row r="226" spans="1:2" ht="12.5">
      <c r="A226" s="3"/>
      <c r="B226" s="4"/>
    </row>
    <row r="227" spans="1:2" ht="12.5">
      <c r="A227" s="3"/>
      <c r="B227" s="4"/>
    </row>
    <row r="228" spans="1:2" ht="12.5">
      <c r="A228" s="3"/>
      <c r="B228" s="4"/>
    </row>
    <row r="229" spans="1:2" ht="12.5">
      <c r="A229" s="3"/>
      <c r="B229" s="4"/>
    </row>
    <row r="230" spans="1:2" ht="12.5">
      <c r="A230" s="3"/>
      <c r="B230" s="4"/>
    </row>
    <row r="231" spans="1:2" ht="12.5">
      <c r="A231" s="3"/>
      <c r="B231" s="4"/>
    </row>
    <row r="232" spans="1:2" ht="12.5">
      <c r="A232" s="3"/>
      <c r="B232" s="4"/>
    </row>
    <row r="233" spans="1:2" ht="12.5">
      <c r="A233" s="3"/>
      <c r="B233" s="4"/>
    </row>
    <row r="234" spans="1:2" ht="12.5">
      <c r="A234" s="3"/>
      <c r="B234" s="4"/>
    </row>
    <row r="235" spans="1:2" ht="12.5">
      <c r="A235" s="3"/>
      <c r="B235" s="4"/>
    </row>
    <row r="236" spans="1:2" ht="12.5">
      <c r="A236" s="3"/>
      <c r="B236" s="4"/>
    </row>
    <row r="237" spans="1:2" ht="12.5">
      <c r="A237" s="3"/>
      <c r="B237" s="4"/>
    </row>
    <row r="238" spans="1:2" ht="12.5">
      <c r="A238" s="3"/>
      <c r="B238" s="4"/>
    </row>
    <row r="239" spans="1:2" ht="12.5">
      <c r="A239" s="3"/>
      <c r="B239" s="4"/>
    </row>
    <row r="240" spans="1:2" ht="12.5">
      <c r="A240" s="3"/>
      <c r="B240" s="4"/>
    </row>
    <row r="241" spans="1:2" ht="12.5">
      <c r="A241" s="3"/>
      <c r="B241" s="4"/>
    </row>
    <row r="242" spans="1:2" ht="12.5">
      <c r="A242" s="3"/>
      <c r="B242" s="4"/>
    </row>
    <row r="243" spans="1:2" ht="12.5">
      <c r="A243" s="3"/>
      <c r="B243" s="4"/>
    </row>
    <row r="244" spans="1:2" ht="12.5">
      <c r="A244" s="3"/>
      <c r="B244" s="4"/>
    </row>
    <row r="245" spans="1:2" ht="12.5">
      <c r="A245" s="3"/>
      <c r="B245" s="4"/>
    </row>
    <row r="246" spans="1:2" ht="12.5">
      <c r="A246" s="3"/>
      <c r="B246" s="4"/>
    </row>
    <row r="247" spans="1:2" ht="12.5">
      <c r="A247" s="3"/>
      <c r="B247" s="4"/>
    </row>
    <row r="248" spans="1:2" ht="12.5">
      <c r="A248" s="3"/>
      <c r="B248" s="4"/>
    </row>
    <row r="249" spans="1:2" ht="12.5">
      <c r="A249" s="3"/>
      <c r="B249" s="4"/>
    </row>
    <row r="250" spans="1:2" ht="12.5">
      <c r="A250" s="3"/>
      <c r="B250" s="4"/>
    </row>
    <row r="251" spans="1:2" ht="12.5">
      <c r="A251" s="3"/>
      <c r="B251" s="4"/>
    </row>
    <row r="252" spans="1:2" ht="12.5">
      <c r="A252" s="3"/>
      <c r="B252" s="4"/>
    </row>
    <row r="253" spans="1:2" ht="12.5">
      <c r="A253" s="3"/>
      <c r="B253" s="4"/>
    </row>
    <row r="254" spans="1:2" ht="12.5">
      <c r="A254" s="3"/>
      <c r="B254" s="4"/>
    </row>
    <row r="255" spans="1:2" ht="12.5">
      <c r="A255" s="3"/>
      <c r="B255" s="4"/>
    </row>
    <row r="256" spans="1:2" ht="12.5">
      <c r="A256" s="3"/>
      <c r="B256" s="4"/>
    </row>
    <row r="257" spans="1:2" ht="12.5">
      <c r="A257" s="3"/>
      <c r="B257" s="4"/>
    </row>
    <row r="258" spans="1:2" ht="12.5">
      <c r="A258" s="3"/>
      <c r="B258" s="4"/>
    </row>
    <row r="259" spans="1:2" ht="12.5">
      <c r="A259" s="3"/>
      <c r="B259" s="4"/>
    </row>
    <row r="260" spans="1:2" ht="12.5">
      <c r="A260" s="3"/>
      <c r="B260" s="4"/>
    </row>
    <row r="261" spans="1:2" ht="12.5">
      <c r="A261" s="3"/>
      <c r="B261" s="4"/>
    </row>
    <row r="262" spans="1:2" ht="12.5">
      <c r="A262" s="3"/>
      <c r="B262" s="4"/>
    </row>
    <row r="263" spans="1:2" ht="12.5">
      <c r="A263" s="3"/>
      <c r="B263" s="4"/>
    </row>
    <row r="264" spans="1:2" ht="12.5">
      <c r="A264" s="3"/>
      <c r="B264" s="4"/>
    </row>
    <row r="265" spans="1:2" ht="12.5">
      <c r="A265" s="3"/>
      <c r="B265" s="4"/>
    </row>
    <row r="266" spans="1:2" ht="12.5">
      <c r="A266" s="3"/>
      <c r="B266" s="4"/>
    </row>
    <row r="267" spans="1:2" ht="12.5">
      <c r="A267" s="3"/>
      <c r="B267" s="4"/>
    </row>
    <row r="268" spans="1:2" ht="12.5">
      <c r="A268" s="3"/>
      <c r="B268" s="4"/>
    </row>
    <row r="269" spans="1:2" ht="12.5">
      <c r="A269" s="3"/>
      <c r="B269" s="4"/>
    </row>
    <row r="270" spans="1:2" ht="12.5">
      <c r="A270" s="3"/>
      <c r="B270" s="4"/>
    </row>
    <row r="271" spans="1:2" ht="12.5">
      <c r="A271" s="3"/>
      <c r="B271" s="4"/>
    </row>
    <row r="272" spans="1:2" ht="12.5">
      <c r="A272" s="3"/>
      <c r="B272" s="4"/>
    </row>
    <row r="273" spans="1:2" ht="12.5">
      <c r="A273" s="3"/>
      <c r="B273" s="4"/>
    </row>
    <row r="274" spans="1:2" ht="12.5">
      <c r="A274" s="3"/>
      <c r="B274" s="4"/>
    </row>
    <row r="275" spans="1:2" ht="12.5">
      <c r="A275" s="3"/>
      <c r="B275" s="4"/>
    </row>
    <row r="276" spans="1:2" ht="12.5">
      <c r="A276" s="3"/>
      <c r="B276" s="4"/>
    </row>
    <row r="277" spans="1:2" ht="12.5">
      <c r="A277" s="3"/>
      <c r="B277" s="4"/>
    </row>
    <row r="278" spans="1:2" ht="12.5">
      <c r="A278" s="3"/>
      <c r="B278" s="4"/>
    </row>
    <row r="279" spans="1:2" ht="12.5">
      <c r="A279" s="3"/>
      <c r="B279" s="4"/>
    </row>
    <row r="280" spans="1:2" ht="12.5">
      <c r="A280" s="3"/>
      <c r="B280" s="4"/>
    </row>
    <row r="281" spans="1:2" ht="12.5">
      <c r="A281" s="3"/>
      <c r="B281" s="4"/>
    </row>
    <row r="282" spans="1:2" ht="12.5">
      <c r="A282" s="3"/>
      <c r="B282" s="4"/>
    </row>
    <row r="283" spans="1:2" ht="12.5">
      <c r="A283" s="3"/>
      <c r="B283" s="4"/>
    </row>
    <row r="284" spans="1:2" ht="12.5">
      <c r="A284" s="3"/>
      <c r="B284" s="4"/>
    </row>
    <row r="285" spans="1:2" ht="12.5">
      <c r="A285" s="3"/>
      <c r="B285" s="4"/>
    </row>
    <row r="286" spans="1:2" ht="12.5">
      <c r="A286" s="3"/>
      <c r="B286" s="4"/>
    </row>
    <row r="287" spans="1:2" ht="12.5">
      <c r="A287" s="3"/>
      <c r="B287" s="4"/>
    </row>
    <row r="288" spans="1:2" ht="12.5">
      <c r="A288" s="3"/>
      <c r="B288" s="4"/>
    </row>
    <row r="289" spans="1:2" ht="12.5">
      <c r="A289" s="3"/>
      <c r="B289" s="4"/>
    </row>
    <row r="290" spans="1:2" ht="12.5">
      <c r="A290" s="3"/>
      <c r="B290" s="4"/>
    </row>
    <row r="291" spans="1:2" ht="12.5">
      <c r="A291" s="3"/>
      <c r="B291" s="4"/>
    </row>
    <row r="292" spans="1:2" ht="12.5">
      <c r="A292" s="3"/>
      <c r="B292" s="4"/>
    </row>
    <row r="293" spans="1:2" ht="12.5">
      <c r="A293" s="3"/>
      <c r="B293" s="4"/>
    </row>
    <row r="294" spans="1:2" ht="12.5">
      <c r="A294" s="3"/>
      <c r="B294" s="4"/>
    </row>
    <row r="295" spans="1:2" ht="12.5">
      <c r="A295" s="3"/>
      <c r="B295" s="4"/>
    </row>
    <row r="296" spans="1:2" ht="12.5">
      <c r="A296" s="3"/>
      <c r="B296" s="4"/>
    </row>
    <row r="297" spans="1:2" ht="12.5">
      <c r="A297" s="3"/>
      <c r="B297" s="4"/>
    </row>
    <row r="298" spans="1:2" ht="12.5">
      <c r="A298" s="3"/>
      <c r="B298" s="4"/>
    </row>
    <row r="299" spans="1:2" ht="12.5">
      <c r="A299" s="3"/>
      <c r="B299" s="4"/>
    </row>
    <row r="300" spans="1:2" ht="12.5">
      <c r="A300" s="3"/>
      <c r="B300" s="4"/>
    </row>
    <row r="301" spans="1:2" ht="12.5">
      <c r="A301" s="3"/>
      <c r="B301" s="4"/>
    </row>
    <row r="302" spans="1:2" ht="12.5">
      <c r="A302" s="3"/>
      <c r="B302" s="4"/>
    </row>
    <row r="303" spans="1:2" ht="12.5">
      <c r="A303" s="3"/>
      <c r="B303" s="4"/>
    </row>
    <row r="304" spans="1:2" ht="12.5">
      <c r="A304" s="3"/>
      <c r="B304" s="4"/>
    </row>
    <row r="305" spans="1:2" ht="12.5">
      <c r="A305" s="3"/>
      <c r="B305" s="4"/>
    </row>
    <row r="306" spans="1:2" ht="12.5">
      <c r="A306" s="3"/>
      <c r="B306" s="4"/>
    </row>
    <row r="307" spans="1:2" ht="12.5">
      <c r="A307" s="3"/>
      <c r="B307" s="4"/>
    </row>
    <row r="308" spans="1:2" ht="12.5">
      <c r="A308" s="3"/>
      <c r="B308" s="4"/>
    </row>
    <row r="309" spans="1:2" ht="12.5">
      <c r="A309" s="3"/>
      <c r="B309" s="4"/>
    </row>
    <row r="310" spans="1:2" ht="12.5">
      <c r="A310" s="3"/>
      <c r="B310" s="4"/>
    </row>
    <row r="311" spans="1:2" ht="12.5">
      <c r="A311" s="3"/>
      <c r="B311" s="4"/>
    </row>
    <row r="312" spans="1:2" ht="12.5">
      <c r="A312" s="3"/>
      <c r="B312" s="4"/>
    </row>
    <row r="313" spans="1:2" ht="12.5">
      <c r="A313" s="3"/>
      <c r="B313" s="4"/>
    </row>
    <row r="314" spans="1:2" ht="12.5">
      <c r="A314" s="3"/>
      <c r="B314" s="4"/>
    </row>
    <row r="315" spans="1:2" ht="12.5">
      <c r="A315" s="3"/>
      <c r="B315" s="4"/>
    </row>
    <row r="316" spans="1:2" ht="12.5">
      <c r="A316" s="3"/>
      <c r="B316" s="4"/>
    </row>
    <row r="317" spans="1:2" ht="12.5">
      <c r="A317" s="3"/>
      <c r="B317" s="4"/>
    </row>
    <row r="318" spans="1:2" ht="12.5">
      <c r="A318" s="3"/>
      <c r="B318" s="4"/>
    </row>
    <row r="319" spans="1:2" ht="12.5">
      <c r="A319" s="3"/>
      <c r="B319" s="4"/>
    </row>
    <row r="320" spans="1:2" ht="12.5">
      <c r="A320" s="3"/>
      <c r="B320" s="4"/>
    </row>
    <row r="321" spans="1:2" ht="12.5">
      <c r="A321" s="3"/>
      <c r="B321" s="4"/>
    </row>
    <row r="322" spans="1:2" ht="12.5">
      <c r="A322" s="3"/>
      <c r="B322" s="4"/>
    </row>
    <row r="323" spans="1:2" ht="12.5">
      <c r="A323" s="3"/>
      <c r="B323" s="4"/>
    </row>
    <row r="324" spans="1:2" ht="12.5">
      <c r="A324" s="3"/>
      <c r="B324" s="4"/>
    </row>
    <row r="325" spans="1:2" ht="12.5">
      <c r="A325" s="3"/>
      <c r="B325" s="4"/>
    </row>
    <row r="326" spans="1:2" ht="12.5">
      <c r="A326" s="3"/>
      <c r="B326" s="4"/>
    </row>
    <row r="327" spans="1:2" ht="12.5">
      <c r="A327" s="3"/>
      <c r="B327" s="4"/>
    </row>
    <row r="328" spans="1:2" ht="12.5">
      <c r="A328" s="3"/>
      <c r="B328" s="4"/>
    </row>
    <row r="329" spans="1:2" ht="12.5">
      <c r="A329" s="3"/>
      <c r="B329" s="4"/>
    </row>
    <row r="330" spans="1:2" ht="12.5">
      <c r="A330" s="3"/>
      <c r="B330" s="4"/>
    </row>
    <row r="331" spans="1:2" ht="12.5">
      <c r="A331" s="3"/>
      <c r="B331" s="4"/>
    </row>
    <row r="332" spans="1:2" ht="12.5">
      <c r="A332" s="3"/>
      <c r="B332" s="4"/>
    </row>
    <row r="333" spans="1:2" ht="12.5">
      <c r="A333" s="3"/>
      <c r="B333" s="4"/>
    </row>
    <row r="334" spans="1:2" ht="12.5">
      <c r="A334" s="3"/>
      <c r="B334" s="4"/>
    </row>
    <row r="335" spans="1:2" ht="12.5">
      <c r="A335" s="3"/>
      <c r="B335" s="4"/>
    </row>
    <row r="336" spans="1:2" ht="12.5">
      <c r="A336" s="3"/>
      <c r="B336" s="4"/>
    </row>
    <row r="337" spans="1:2" ht="12.5">
      <c r="A337" s="3"/>
      <c r="B337" s="4"/>
    </row>
    <row r="338" spans="1:2" ht="12.5">
      <c r="A338" s="3"/>
      <c r="B338" s="4"/>
    </row>
    <row r="339" spans="1:2" ht="12.5">
      <c r="A339" s="3"/>
      <c r="B339" s="4"/>
    </row>
    <row r="340" spans="1:2" ht="12.5">
      <c r="A340" s="3"/>
      <c r="B340" s="4"/>
    </row>
    <row r="341" spans="1:2" ht="12.5">
      <c r="A341" s="3"/>
      <c r="B341" s="4"/>
    </row>
    <row r="342" spans="1:2" ht="12.5">
      <c r="A342" s="3"/>
      <c r="B342" s="4"/>
    </row>
    <row r="343" spans="1:2" ht="12.5">
      <c r="A343" s="3"/>
      <c r="B343" s="4"/>
    </row>
    <row r="344" spans="1:2" ht="12.5">
      <c r="A344" s="3"/>
      <c r="B344" s="4"/>
    </row>
    <row r="345" spans="1:2" ht="12.5">
      <c r="A345" s="3"/>
      <c r="B345" s="4"/>
    </row>
    <row r="346" spans="1:2" ht="12.5">
      <c r="A346" s="3"/>
      <c r="B346" s="4"/>
    </row>
    <row r="347" spans="1:2" ht="12.5">
      <c r="A347" s="3"/>
      <c r="B347" s="4"/>
    </row>
    <row r="348" spans="1:2" ht="12.5">
      <c r="A348" s="3"/>
      <c r="B348" s="4"/>
    </row>
    <row r="349" spans="1:2" ht="12.5">
      <c r="A349" s="3"/>
      <c r="B349" s="4"/>
    </row>
    <row r="350" spans="1:2" ht="12.5">
      <c r="A350" s="3"/>
      <c r="B350" s="4"/>
    </row>
    <row r="351" spans="1:2" ht="12.5">
      <c r="A351" s="3"/>
      <c r="B351" s="4"/>
    </row>
    <row r="352" spans="1:2" ht="12.5">
      <c r="A352" s="3"/>
      <c r="B352" s="4"/>
    </row>
    <row r="353" spans="1:2" ht="12.5">
      <c r="A353" s="3"/>
      <c r="B353" s="4"/>
    </row>
    <row r="354" spans="1:2" ht="12.5">
      <c r="A354" s="3"/>
      <c r="B354" s="4"/>
    </row>
    <row r="355" spans="1:2" ht="12.5">
      <c r="A355" s="3"/>
      <c r="B355" s="4"/>
    </row>
    <row r="356" spans="1:2" ht="12.5">
      <c r="A356" s="3"/>
      <c r="B356" s="4"/>
    </row>
    <row r="357" spans="1:2" ht="12.5">
      <c r="A357" s="3"/>
      <c r="B357" s="4"/>
    </row>
    <row r="358" spans="1:2" ht="12.5">
      <c r="A358" s="3"/>
      <c r="B358" s="4"/>
    </row>
    <row r="359" spans="1:2" ht="12.5">
      <c r="A359" s="3"/>
      <c r="B359" s="4"/>
    </row>
    <row r="360" spans="1:2" ht="12.5">
      <c r="A360" s="3"/>
      <c r="B360" s="4"/>
    </row>
    <row r="361" spans="1:2" ht="12.5">
      <c r="A361" s="3"/>
      <c r="B361" s="4"/>
    </row>
    <row r="362" spans="1:2" ht="12.5">
      <c r="A362" s="3"/>
      <c r="B362" s="4"/>
    </row>
    <row r="363" spans="1:2" ht="12.5">
      <c r="A363" s="3"/>
      <c r="B363" s="4"/>
    </row>
    <row r="364" spans="1:2" ht="12.5">
      <c r="A364" s="3"/>
      <c r="B364" s="4"/>
    </row>
    <row r="365" spans="1:2" ht="12.5">
      <c r="A365" s="3"/>
      <c r="B365" s="4"/>
    </row>
    <row r="366" spans="1:2" ht="12.5">
      <c r="A366" s="3"/>
      <c r="B366" s="4"/>
    </row>
    <row r="367" spans="1:2" ht="12.5">
      <c r="A367" s="3"/>
      <c r="B367" s="4"/>
    </row>
    <row r="368" spans="1:2" ht="12.5">
      <c r="A368" s="3"/>
      <c r="B368" s="4"/>
    </row>
    <row r="369" spans="1:2" ht="12.5">
      <c r="A369" s="3"/>
      <c r="B369" s="4"/>
    </row>
    <row r="370" spans="1:2" ht="12.5">
      <c r="A370" s="3"/>
      <c r="B370" s="4"/>
    </row>
    <row r="371" spans="1:2" ht="12.5">
      <c r="A371" s="3"/>
      <c r="B371" s="4"/>
    </row>
    <row r="372" spans="1:2" ht="12.5">
      <c r="A372" s="3"/>
      <c r="B372" s="4"/>
    </row>
    <row r="373" spans="1:2" ht="12.5">
      <c r="A373" s="3"/>
      <c r="B373" s="4"/>
    </row>
    <row r="374" spans="1:2" ht="12.5">
      <c r="A374" s="3"/>
      <c r="B374" s="4"/>
    </row>
    <row r="375" spans="1:2" ht="12.5">
      <c r="A375" s="3"/>
      <c r="B375" s="4"/>
    </row>
    <row r="376" spans="1:2" ht="12.5">
      <c r="A376" s="3"/>
      <c r="B376" s="4"/>
    </row>
    <row r="377" spans="1:2" ht="12.5">
      <c r="A377" s="3"/>
      <c r="B377" s="4"/>
    </row>
    <row r="378" spans="1:2" ht="12.5">
      <c r="A378" s="3"/>
      <c r="B378" s="4"/>
    </row>
    <row r="379" spans="1:2" ht="12.5">
      <c r="A379" s="3"/>
      <c r="B379" s="4"/>
    </row>
    <row r="380" spans="1:2" ht="12.5">
      <c r="A380" s="3"/>
      <c r="B380" s="4"/>
    </row>
    <row r="381" spans="1:2" ht="12.5">
      <c r="A381" s="3"/>
      <c r="B381" s="4"/>
    </row>
    <row r="382" spans="1:2" ht="12.5">
      <c r="A382" s="3"/>
      <c r="B382" s="4"/>
    </row>
    <row r="383" spans="1:2" ht="12.5">
      <c r="A383" s="3"/>
      <c r="B383" s="4"/>
    </row>
    <row r="384" spans="1:2" ht="12.5">
      <c r="A384" s="3"/>
      <c r="B384" s="4"/>
    </row>
    <row r="385" spans="1:2" ht="12.5">
      <c r="A385" s="3"/>
      <c r="B385" s="4"/>
    </row>
    <row r="386" spans="1:2" ht="12.5">
      <c r="A386" s="3"/>
      <c r="B386" s="4"/>
    </row>
    <row r="387" spans="1:2" ht="12.5">
      <c r="A387" s="3"/>
      <c r="B387" s="4"/>
    </row>
    <row r="388" spans="1:2" ht="12.5">
      <c r="A388" s="3"/>
      <c r="B388" s="4"/>
    </row>
    <row r="389" spans="1:2" ht="12.5">
      <c r="A389" s="3"/>
      <c r="B389" s="4"/>
    </row>
    <row r="390" spans="1:2" ht="12.5">
      <c r="A390" s="3"/>
      <c r="B390" s="4"/>
    </row>
    <row r="391" spans="1:2" ht="12.5">
      <c r="A391" s="3"/>
      <c r="B391" s="4"/>
    </row>
    <row r="392" spans="1:2" ht="12.5">
      <c r="A392" s="3"/>
      <c r="B392" s="4"/>
    </row>
    <row r="393" spans="1:2" ht="12.5">
      <c r="A393" s="3"/>
      <c r="B393" s="4"/>
    </row>
    <row r="394" spans="1:2" ht="12.5">
      <c r="A394" s="3"/>
      <c r="B394" s="4"/>
    </row>
    <row r="395" spans="1:2" ht="12.5">
      <c r="A395" s="3"/>
      <c r="B395" s="4"/>
    </row>
    <row r="396" spans="1:2" ht="12.5">
      <c r="A396" s="3"/>
      <c r="B396" s="4"/>
    </row>
    <row r="397" spans="1:2" ht="12.5">
      <c r="A397" s="3"/>
      <c r="B397" s="4"/>
    </row>
    <row r="398" spans="1:2" ht="12.5">
      <c r="A398" s="3"/>
      <c r="B398" s="4"/>
    </row>
    <row r="399" spans="1:2" ht="12.5">
      <c r="A399" s="3"/>
      <c r="B399" s="4"/>
    </row>
    <row r="400" spans="1:2" ht="12.5">
      <c r="A400" s="3"/>
      <c r="B400" s="4"/>
    </row>
    <row r="401" spans="1:2" ht="12.5">
      <c r="A401" s="3"/>
      <c r="B401" s="4"/>
    </row>
    <row r="402" spans="1:2" ht="12.5">
      <c r="A402" s="3"/>
      <c r="B402" s="4"/>
    </row>
    <row r="403" spans="1:2" ht="12.5">
      <c r="A403" s="3"/>
      <c r="B403" s="4"/>
    </row>
    <row r="404" spans="1:2" ht="12.5">
      <c r="A404" s="3"/>
      <c r="B404" s="4"/>
    </row>
    <row r="405" spans="1:2" ht="12.5">
      <c r="A405" s="3"/>
      <c r="B405" s="4"/>
    </row>
    <row r="406" spans="1:2" ht="12.5">
      <c r="A406" s="3"/>
      <c r="B406" s="4"/>
    </row>
    <row r="407" spans="1:2" ht="12.5">
      <c r="A407" s="3"/>
      <c r="B407" s="4"/>
    </row>
    <row r="408" spans="1:2" ht="12.5">
      <c r="A408" s="3"/>
      <c r="B408" s="4"/>
    </row>
    <row r="409" spans="1:2" ht="12.5">
      <c r="A409" s="3"/>
      <c r="B409" s="4"/>
    </row>
    <row r="410" spans="1:2" ht="12.5">
      <c r="A410" s="3"/>
      <c r="B410" s="4"/>
    </row>
    <row r="411" spans="1:2" ht="12.5">
      <c r="A411" s="3"/>
      <c r="B411" s="4"/>
    </row>
    <row r="412" spans="1:2" ht="12.5">
      <c r="A412" s="3"/>
      <c r="B412" s="4"/>
    </row>
    <row r="413" spans="1:2" ht="12.5">
      <c r="A413" s="3"/>
      <c r="B413" s="4"/>
    </row>
    <row r="414" spans="1:2" ht="12.5">
      <c r="A414" s="3"/>
      <c r="B414" s="4"/>
    </row>
    <row r="415" spans="1:2" ht="12.5">
      <c r="A415" s="3"/>
      <c r="B415" s="4"/>
    </row>
    <row r="416" spans="1:2" ht="12.5">
      <c r="A416" s="3"/>
      <c r="B416" s="4"/>
    </row>
    <row r="417" spans="1:2" ht="12.5">
      <c r="A417" s="3"/>
      <c r="B417" s="4"/>
    </row>
    <row r="418" spans="1:2" ht="12.5">
      <c r="A418" s="3"/>
      <c r="B418" s="4"/>
    </row>
    <row r="419" spans="1:2" ht="12.5">
      <c r="A419" s="3"/>
      <c r="B419" s="4"/>
    </row>
    <row r="420" spans="1:2" ht="12.5">
      <c r="A420" s="3"/>
      <c r="B420" s="4"/>
    </row>
    <row r="421" spans="1:2" ht="12.5">
      <c r="A421" s="3"/>
      <c r="B421" s="4"/>
    </row>
    <row r="422" spans="1:2" ht="12.5">
      <c r="A422" s="3"/>
      <c r="B422" s="4"/>
    </row>
    <row r="423" spans="1:2" ht="12.5">
      <c r="A423" s="3"/>
      <c r="B423" s="4"/>
    </row>
    <row r="424" spans="1:2" ht="12.5">
      <c r="A424" s="3"/>
      <c r="B424" s="4"/>
    </row>
    <row r="425" spans="1:2" ht="12.5">
      <c r="A425" s="3"/>
      <c r="B425" s="4"/>
    </row>
    <row r="426" spans="1:2" ht="12.5">
      <c r="A426" s="3"/>
      <c r="B426" s="4"/>
    </row>
    <row r="427" spans="1:2" ht="12.5">
      <c r="A427" s="3"/>
      <c r="B427" s="4"/>
    </row>
    <row r="428" spans="1:2" ht="12.5">
      <c r="A428" s="3"/>
      <c r="B428" s="4"/>
    </row>
    <row r="429" spans="1:2" ht="12.5">
      <c r="A429" s="3"/>
      <c r="B429" s="4"/>
    </row>
    <row r="430" spans="1:2" ht="12.5">
      <c r="A430" s="3"/>
      <c r="B430" s="4"/>
    </row>
    <row r="431" spans="1:2" ht="12.5">
      <c r="A431" s="3"/>
      <c r="B431" s="4"/>
    </row>
    <row r="432" spans="1:2" ht="12.5">
      <c r="A432" s="3"/>
      <c r="B432" s="4"/>
    </row>
    <row r="433" spans="1:2" ht="12.5">
      <c r="A433" s="3"/>
      <c r="B433" s="4"/>
    </row>
    <row r="434" spans="1:2" ht="12.5">
      <c r="A434" s="3"/>
      <c r="B434" s="4"/>
    </row>
    <row r="435" spans="1:2" ht="12.5">
      <c r="A435" s="3"/>
      <c r="B435" s="4"/>
    </row>
    <row r="436" spans="1:2" ht="12.5">
      <c r="A436" s="3"/>
      <c r="B436" s="4"/>
    </row>
    <row r="437" spans="1:2" ht="12.5">
      <c r="A437" s="3"/>
      <c r="B437" s="4"/>
    </row>
    <row r="438" spans="1:2" ht="12.5">
      <c r="A438" s="3"/>
      <c r="B438" s="4"/>
    </row>
    <row r="439" spans="1:2" ht="12.5">
      <c r="A439" s="3"/>
      <c r="B439" s="4"/>
    </row>
    <row r="440" spans="1:2" ht="12.5">
      <c r="A440" s="3"/>
      <c r="B440" s="4"/>
    </row>
    <row r="441" spans="1:2" ht="12.5">
      <c r="A441" s="3"/>
      <c r="B441" s="4"/>
    </row>
    <row r="442" spans="1:2" ht="12.5">
      <c r="A442" s="3"/>
      <c r="B442" s="4"/>
    </row>
    <row r="443" spans="1:2" ht="12.5">
      <c r="A443" s="3"/>
      <c r="B443" s="4"/>
    </row>
    <row r="444" spans="1:2" ht="12.5">
      <c r="A444" s="3"/>
      <c r="B444" s="4"/>
    </row>
    <row r="445" spans="1:2" ht="12.5">
      <c r="A445" s="3"/>
      <c r="B445" s="4"/>
    </row>
    <row r="446" spans="1:2" ht="12.5">
      <c r="A446" s="3"/>
      <c r="B446" s="4"/>
    </row>
    <row r="447" spans="1:2" ht="12.5">
      <c r="A447" s="3"/>
      <c r="B447" s="4"/>
    </row>
    <row r="448" spans="1:2" ht="12.5">
      <c r="A448" s="3"/>
      <c r="B448" s="4"/>
    </row>
    <row r="449" spans="1:2" ht="12.5">
      <c r="A449" s="3"/>
      <c r="B449" s="4"/>
    </row>
    <row r="450" spans="1:2" ht="12.5">
      <c r="A450" s="3"/>
      <c r="B450" s="4"/>
    </row>
    <row r="451" spans="1:2" ht="12.5">
      <c r="A451" s="3"/>
      <c r="B451" s="4"/>
    </row>
    <row r="452" spans="1:2" ht="12.5">
      <c r="A452" s="3"/>
      <c r="B452" s="4"/>
    </row>
    <row r="453" spans="1:2" ht="12.5">
      <c r="A453" s="3"/>
      <c r="B453" s="4"/>
    </row>
    <row r="454" spans="1:2" ht="12.5">
      <c r="A454" s="3"/>
      <c r="B454" s="4"/>
    </row>
    <row r="455" spans="1:2" ht="12.5">
      <c r="A455" s="3"/>
      <c r="B455" s="4"/>
    </row>
    <row r="456" spans="1:2" ht="12.5">
      <c r="A456" s="3"/>
      <c r="B456" s="4"/>
    </row>
    <row r="457" spans="1:2" ht="12.5">
      <c r="A457" s="3"/>
      <c r="B457" s="4"/>
    </row>
    <row r="458" spans="1:2" ht="12.5">
      <c r="A458" s="3"/>
      <c r="B458" s="4"/>
    </row>
    <row r="459" spans="1:2" ht="12.5">
      <c r="A459" s="3"/>
      <c r="B459" s="4"/>
    </row>
    <row r="460" spans="1:2" ht="12.5">
      <c r="A460" s="3"/>
      <c r="B460" s="4"/>
    </row>
    <row r="461" spans="1:2" ht="12.5">
      <c r="A461" s="3"/>
      <c r="B461" s="4"/>
    </row>
    <row r="462" spans="1:2" ht="12.5">
      <c r="A462" s="3"/>
      <c r="B462" s="4"/>
    </row>
    <row r="463" spans="1:2" ht="12.5">
      <c r="A463" s="3"/>
      <c r="B463" s="4"/>
    </row>
    <row r="464" spans="1:2" ht="12.5">
      <c r="A464" s="3"/>
      <c r="B464" s="4"/>
    </row>
    <row r="465" spans="1:2" ht="12.5">
      <c r="A465" s="3"/>
      <c r="B465" s="4"/>
    </row>
    <row r="466" spans="1:2" ht="12.5">
      <c r="A466" s="3"/>
      <c r="B466" s="4"/>
    </row>
    <row r="467" spans="1:2" ht="12.5">
      <c r="A467" s="3"/>
      <c r="B467" s="4"/>
    </row>
    <row r="468" spans="1:2" ht="12.5">
      <c r="A468" s="3"/>
      <c r="B468" s="4"/>
    </row>
    <row r="469" spans="1:2" ht="12.5">
      <c r="A469" s="3"/>
      <c r="B469" s="4"/>
    </row>
    <row r="470" spans="1:2" ht="12.5">
      <c r="A470" s="3"/>
      <c r="B470" s="4"/>
    </row>
    <row r="471" spans="1:2" ht="12.5">
      <c r="A471" s="3"/>
      <c r="B471" s="4"/>
    </row>
    <row r="472" spans="1:2" ht="12.5">
      <c r="A472" s="3"/>
      <c r="B472" s="4"/>
    </row>
    <row r="473" spans="1:2" ht="12.5">
      <c r="A473" s="3"/>
      <c r="B473" s="4"/>
    </row>
    <row r="474" spans="1:2" ht="12.5">
      <c r="A474" s="3"/>
      <c r="B474" s="4"/>
    </row>
    <row r="475" spans="1:2" ht="12.5">
      <c r="A475" s="3"/>
      <c r="B475" s="4"/>
    </row>
    <row r="476" spans="1:2" ht="12.5">
      <c r="A476" s="3"/>
      <c r="B476" s="4"/>
    </row>
    <row r="477" spans="1:2" ht="12.5">
      <c r="A477" s="3"/>
      <c r="B477" s="4"/>
    </row>
    <row r="478" spans="1:2" ht="12.5">
      <c r="A478" s="3"/>
      <c r="B478" s="4"/>
    </row>
    <row r="479" spans="1:2" ht="12.5">
      <c r="A479" s="3"/>
      <c r="B479" s="4"/>
    </row>
    <row r="480" spans="1:2" ht="12.5">
      <c r="A480" s="3"/>
      <c r="B480" s="4"/>
    </row>
    <row r="481" spans="1:2" ht="12.5">
      <c r="A481" s="3"/>
      <c r="B481" s="4"/>
    </row>
    <row r="482" spans="1:2" ht="12.5">
      <c r="A482" s="3"/>
      <c r="B482" s="4"/>
    </row>
    <row r="483" spans="1:2" ht="12.5">
      <c r="A483" s="3"/>
      <c r="B483" s="4"/>
    </row>
    <row r="484" spans="1:2" ht="12.5">
      <c r="A484" s="3"/>
      <c r="B484" s="4"/>
    </row>
    <row r="485" spans="1:2" ht="12.5">
      <c r="A485" s="3"/>
      <c r="B485" s="4"/>
    </row>
    <row r="486" spans="1:2" ht="12.5">
      <c r="A486" s="3"/>
      <c r="B486" s="4"/>
    </row>
    <row r="487" spans="1:2" ht="12.5">
      <c r="A487" s="3"/>
      <c r="B487" s="4"/>
    </row>
    <row r="488" spans="1:2" ht="12.5">
      <c r="A488" s="3"/>
      <c r="B488" s="4"/>
    </row>
    <row r="489" spans="1:2" ht="12.5">
      <c r="A489" s="3"/>
      <c r="B489" s="4"/>
    </row>
    <row r="490" spans="1:2" ht="12.5">
      <c r="A490" s="3"/>
      <c r="B490" s="4"/>
    </row>
    <row r="491" spans="1:2" ht="12.5">
      <c r="A491" s="3"/>
      <c r="B491" s="4"/>
    </row>
    <row r="492" spans="1:2" ht="12.5">
      <c r="A492" s="3"/>
      <c r="B492" s="4"/>
    </row>
    <row r="493" spans="1:2" ht="12.5">
      <c r="A493" s="3"/>
      <c r="B493" s="4"/>
    </row>
    <row r="494" spans="1:2" ht="12.5">
      <c r="A494" s="3"/>
      <c r="B494" s="4"/>
    </row>
    <row r="495" spans="1:2" ht="12.5">
      <c r="A495" s="3"/>
      <c r="B495" s="4"/>
    </row>
    <row r="496" spans="1:2" ht="12.5">
      <c r="A496" s="3"/>
      <c r="B496" s="4"/>
    </row>
    <row r="497" spans="1:2" ht="12.5">
      <c r="A497" s="3"/>
      <c r="B497" s="4"/>
    </row>
    <row r="498" spans="1:2" ht="12.5">
      <c r="A498" s="3"/>
      <c r="B498" s="4"/>
    </row>
    <row r="499" spans="1:2" ht="12.5">
      <c r="A499" s="3"/>
      <c r="B499" s="4"/>
    </row>
    <row r="500" spans="1:2" ht="12.5">
      <c r="A500" s="3"/>
      <c r="B500" s="4"/>
    </row>
    <row r="501" spans="1:2" ht="12.5">
      <c r="A501" s="3"/>
      <c r="B501" s="4"/>
    </row>
    <row r="502" spans="1:2" ht="12.5">
      <c r="A502" s="3"/>
      <c r="B502" s="4"/>
    </row>
    <row r="503" spans="1:2" ht="12.5">
      <c r="A503" s="3"/>
      <c r="B503" s="4"/>
    </row>
    <row r="504" spans="1:2" ht="12.5">
      <c r="A504" s="3"/>
      <c r="B504" s="4"/>
    </row>
    <row r="505" spans="1:2" ht="12.5">
      <c r="A505" s="3"/>
      <c r="B505" s="4"/>
    </row>
    <row r="506" spans="1:2" ht="12.5">
      <c r="A506" s="3"/>
      <c r="B506" s="4"/>
    </row>
    <row r="507" spans="1:2" ht="12.5">
      <c r="A507" s="3"/>
      <c r="B507" s="4"/>
    </row>
    <row r="508" spans="1:2" ht="12.5">
      <c r="A508" s="3"/>
      <c r="B508" s="4"/>
    </row>
    <row r="509" spans="1:2" ht="12.5">
      <c r="A509" s="3"/>
      <c r="B509" s="4"/>
    </row>
    <row r="510" spans="1:2" ht="12.5">
      <c r="A510" s="3"/>
      <c r="B510" s="4"/>
    </row>
    <row r="511" spans="1:2" ht="12.5">
      <c r="A511" s="3"/>
      <c r="B511" s="4"/>
    </row>
    <row r="512" spans="1:2" ht="12.5">
      <c r="A512" s="3"/>
      <c r="B512" s="4"/>
    </row>
    <row r="513" spans="1:2" ht="12.5">
      <c r="A513" s="3"/>
      <c r="B513" s="4"/>
    </row>
    <row r="514" spans="1:2" ht="12.5">
      <c r="A514" s="3"/>
      <c r="B514" s="4"/>
    </row>
    <row r="515" spans="1:2" ht="12.5">
      <c r="A515" s="3"/>
      <c r="B515" s="4"/>
    </row>
    <row r="516" spans="1:2" ht="12.5">
      <c r="A516" s="3"/>
      <c r="B516" s="4"/>
    </row>
    <row r="517" spans="1:2" ht="12.5">
      <c r="A517" s="3"/>
      <c r="B517" s="4"/>
    </row>
    <row r="518" spans="1:2" ht="12.5">
      <c r="A518" s="3"/>
      <c r="B518" s="4"/>
    </row>
    <row r="519" spans="1:2" ht="12.5">
      <c r="A519" s="3"/>
      <c r="B519" s="4"/>
    </row>
    <row r="520" spans="1:2" ht="12.5">
      <c r="A520" s="3"/>
      <c r="B520" s="4"/>
    </row>
    <row r="521" spans="1:2" ht="12.5">
      <c r="A521" s="3"/>
      <c r="B521" s="4"/>
    </row>
    <row r="522" spans="1:2" ht="12.5">
      <c r="A522" s="3"/>
      <c r="B522" s="4"/>
    </row>
    <row r="523" spans="1:2" ht="12.5">
      <c r="A523" s="3"/>
      <c r="B523" s="4"/>
    </row>
    <row r="524" spans="1:2" ht="12.5">
      <c r="A524" s="3"/>
      <c r="B524" s="4"/>
    </row>
    <row r="525" spans="1:2" ht="12.5">
      <c r="A525" s="3"/>
      <c r="B525" s="4"/>
    </row>
    <row r="526" spans="1:2" ht="12.5">
      <c r="A526" s="3"/>
      <c r="B526" s="4"/>
    </row>
    <row r="527" spans="1:2" ht="12.5">
      <c r="A527" s="3"/>
      <c r="B527" s="4"/>
    </row>
    <row r="528" spans="1:2" ht="12.5">
      <c r="A528" s="3"/>
      <c r="B528" s="4"/>
    </row>
    <row r="529" spans="1:2" ht="12.5">
      <c r="A529" s="3"/>
      <c r="B529" s="4"/>
    </row>
    <row r="530" spans="1:2" ht="12.5">
      <c r="A530" s="3"/>
      <c r="B530" s="4"/>
    </row>
    <row r="531" spans="1:2" ht="12.5">
      <c r="A531" s="3"/>
      <c r="B531" s="4"/>
    </row>
    <row r="532" spans="1:2" ht="12.5">
      <c r="A532" s="3"/>
      <c r="B532" s="4"/>
    </row>
    <row r="533" spans="1:2" ht="12.5">
      <c r="A533" s="3"/>
      <c r="B533" s="4"/>
    </row>
    <row r="534" spans="1:2" ht="12.5">
      <c r="A534" s="3"/>
      <c r="B534" s="4"/>
    </row>
    <row r="535" spans="1:2" ht="12.5">
      <c r="A535" s="3"/>
      <c r="B535" s="4"/>
    </row>
    <row r="536" spans="1:2" ht="12.5">
      <c r="A536" s="3"/>
      <c r="B536" s="4"/>
    </row>
    <row r="537" spans="1:2" ht="12.5">
      <c r="A537" s="3"/>
      <c r="B537" s="4"/>
    </row>
    <row r="538" spans="1:2" ht="12.5">
      <c r="A538" s="3"/>
      <c r="B538" s="4"/>
    </row>
    <row r="539" spans="1:2" ht="12.5">
      <c r="A539" s="3"/>
      <c r="B539" s="4"/>
    </row>
    <row r="540" spans="1:2" ht="12.5">
      <c r="A540" s="3"/>
      <c r="B540" s="4"/>
    </row>
    <row r="541" spans="1:2" ht="12.5">
      <c r="A541" s="3"/>
      <c r="B541" s="4"/>
    </row>
    <row r="542" spans="1:2" ht="12.5">
      <c r="A542" s="3"/>
      <c r="B542" s="4"/>
    </row>
    <row r="543" spans="1:2" ht="12.5">
      <c r="A543" s="3"/>
      <c r="B543" s="4"/>
    </row>
    <row r="544" spans="1:2" ht="12.5">
      <c r="A544" s="3"/>
      <c r="B544" s="4"/>
    </row>
    <row r="545" spans="1:2" ht="12.5">
      <c r="A545" s="3"/>
      <c r="B545" s="4"/>
    </row>
    <row r="546" spans="1:2" ht="12.5">
      <c r="A546" s="3"/>
      <c r="B546" s="4"/>
    </row>
    <row r="547" spans="1:2" ht="12.5">
      <c r="A547" s="3"/>
      <c r="B547" s="4"/>
    </row>
    <row r="548" spans="1:2" ht="12.5">
      <c r="A548" s="3"/>
      <c r="B548" s="4"/>
    </row>
    <row r="549" spans="1:2" ht="12.5">
      <c r="A549" s="3"/>
      <c r="B549" s="4"/>
    </row>
    <row r="550" spans="1:2" ht="12.5">
      <c r="A550" s="3"/>
      <c r="B550" s="4"/>
    </row>
    <row r="551" spans="1:2" ht="12.5">
      <c r="A551" s="3"/>
      <c r="B551" s="4"/>
    </row>
    <row r="552" spans="1:2" ht="12.5">
      <c r="A552" s="3"/>
      <c r="B552" s="4"/>
    </row>
    <row r="553" spans="1:2" ht="12.5">
      <c r="A553" s="3"/>
      <c r="B553" s="4"/>
    </row>
    <row r="554" spans="1:2" ht="12.5">
      <c r="A554" s="3"/>
      <c r="B554" s="4"/>
    </row>
    <row r="555" spans="1:2" ht="12.5">
      <c r="A555" s="3"/>
      <c r="B555" s="4"/>
    </row>
    <row r="556" spans="1:2" ht="12.5">
      <c r="A556" s="3"/>
      <c r="B556" s="4"/>
    </row>
    <row r="557" spans="1:2" ht="12.5">
      <c r="A557" s="3"/>
      <c r="B557" s="4"/>
    </row>
    <row r="558" spans="1:2" ht="12.5">
      <c r="A558" s="3"/>
      <c r="B558" s="4"/>
    </row>
    <row r="559" spans="1:2" ht="12.5">
      <c r="A559" s="3"/>
      <c r="B559" s="4"/>
    </row>
    <row r="560" spans="1:2" ht="12.5">
      <c r="A560" s="3"/>
      <c r="B560" s="4"/>
    </row>
    <row r="561" spans="1:2" ht="12.5">
      <c r="A561" s="3"/>
      <c r="B561" s="4"/>
    </row>
    <row r="562" spans="1:2" ht="12.5">
      <c r="A562" s="3"/>
      <c r="B562" s="4"/>
    </row>
    <row r="563" spans="1:2" ht="12.5">
      <c r="A563" s="3"/>
      <c r="B563" s="4"/>
    </row>
    <row r="564" spans="1:2" ht="12.5">
      <c r="A564" s="3"/>
      <c r="B564" s="4"/>
    </row>
    <row r="565" spans="1:2" ht="12.5">
      <c r="A565" s="3"/>
      <c r="B565" s="4"/>
    </row>
    <row r="566" spans="1:2" ht="12.5">
      <c r="A566" s="3"/>
      <c r="B566" s="4"/>
    </row>
    <row r="567" spans="1:2" ht="12.5">
      <c r="A567" s="3"/>
      <c r="B567" s="4"/>
    </row>
    <row r="568" spans="1:2" ht="12.5">
      <c r="A568" s="3"/>
      <c r="B568" s="4"/>
    </row>
    <row r="569" spans="1:2" ht="12.5">
      <c r="A569" s="3"/>
      <c r="B569" s="4"/>
    </row>
    <row r="570" spans="1:2" ht="12.5">
      <c r="A570" s="3"/>
      <c r="B570" s="4"/>
    </row>
    <row r="571" spans="1:2" ht="12.5">
      <c r="A571" s="3"/>
      <c r="B571" s="4"/>
    </row>
    <row r="572" spans="1:2" ht="12.5">
      <c r="A572" s="3"/>
      <c r="B572" s="4"/>
    </row>
    <row r="573" spans="1:2" ht="12.5">
      <c r="A573" s="3"/>
      <c r="B573" s="4"/>
    </row>
    <row r="574" spans="1:2" ht="12.5">
      <c r="A574" s="3"/>
      <c r="B574" s="4"/>
    </row>
    <row r="575" spans="1:2" ht="12.5">
      <c r="A575" s="3"/>
      <c r="B575" s="4"/>
    </row>
    <row r="576" spans="1:2" ht="12.5">
      <c r="A576" s="3"/>
      <c r="B576" s="4"/>
    </row>
    <row r="577" spans="1:2" ht="12.5">
      <c r="A577" s="3"/>
      <c r="B577" s="4"/>
    </row>
    <row r="578" spans="1:2" ht="12.5">
      <c r="A578" s="3"/>
      <c r="B578" s="4"/>
    </row>
    <row r="579" spans="1:2" ht="12.5">
      <c r="A579" s="3"/>
      <c r="B579" s="4"/>
    </row>
    <row r="580" spans="1:2" ht="12.5">
      <c r="A580" s="3"/>
      <c r="B580" s="4"/>
    </row>
    <row r="581" spans="1:2" ht="12.5">
      <c r="A581" s="3"/>
      <c r="B581" s="4"/>
    </row>
    <row r="582" spans="1:2" ht="12.5">
      <c r="A582" s="3"/>
      <c r="B582" s="4"/>
    </row>
    <row r="583" spans="1:2" ht="12.5">
      <c r="A583" s="3"/>
      <c r="B583" s="4"/>
    </row>
    <row r="584" spans="1:2" ht="12.5">
      <c r="A584" s="3"/>
      <c r="B584" s="4"/>
    </row>
    <row r="585" spans="1:2" ht="12.5">
      <c r="A585" s="3"/>
      <c r="B585" s="4"/>
    </row>
    <row r="586" spans="1:2" ht="12.5">
      <c r="A586" s="3"/>
      <c r="B586" s="4"/>
    </row>
    <row r="587" spans="1:2" ht="12.5">
      <c r="A587" s="3"/>
      <c r="B587" s="4"/>
    </row>
    <row r="588" spans="1:2" ht="12.5">
      <c r="A588" s="3"/>
      <c r="B588" s="4"/>
    </row>
    <row r="589" spans="1:2" ht="12.5">
      <c r="A589" s="3"/>
      <c r="B589" s="4"/>
    </row>
    <row r="590" spans="1:2" ht="12.5">
      <c r="A590" s="3"/>
      <c r="B590" s="4"/>
    </row>
    <row r="591" spans="1:2" ht="12.5">
      <c r="A591" s="3"/>
      <c r="B591" s="4"/>
    </row>
    <row r="592" spans="1:2" ht="12.5">
      <c r="A592" s="3"/>
      <c r="B592" s="4"/>
    </row>
    <row r="593" spans="1:2" ht="12.5">
      <c r="A593" s="3"/>
      <c r="B593" s="4"/>
    </row>
    <row r="594" spans="1:2" ht="12.5">
      <c r="A594" s="3"/>
      <c r="B594" s="4"/>
    </row>
    <row r="595" spans="1:2" ht="12.5">
      <c r="A595" s="3"/>
      <c r="B595" s="4"/>
    </row>
    <row r="596" spans="1:2" ht="12.5">
      <c r="A596" s="3"/>
      <c r="B596" s="4"/>
    </row>
    <row r="597" spans="1:2" ht="12.5">
      <c r="A597" s="3"/>
      <c r="B597" s="4"/>
    </row>
    <row r="598" spans="1:2" ht="12.5">
      <c r="A598" s="3"/>
      <c r="B598" s="4"/>
    </row>
    <row r="599" spans="1:2" ht="12.5">
      <c r="A599" s="3"/>
      <c r="B599" s="4"/>
    </row>
    <row r="600" spans="1:2" ht="12.5">
      <c r="A600" s="3"/>
      <c r="B600" s="4"/>
    </row>
    <row r="601" spans="1:2" ht="12.5">
      <c r="A601" s="3"/>
      <c r="B601" s="4"/>
    </row>
    <row r="602" spans="1:2" ht="12.5">
      <c r="A602" s="3"/>
      <c r="B602" s="4"/>
    </row>
    <row r="603" spans="1:2" ht="12.5">
      <c r="A603" s="3"/>
      <c r="B603" s="4"/>
    </row>
    <row r="604" spans="1:2" ht="12.5">
      <c r="A604" s="3"/>
      <c r="B604" s="4"/>
    </row>
    <row r="605" spans="1:2" ht="12.5">
      <c r="A605" s="3"/>
      <c r="B605" s="4"/>
    </row>
    <row r="606" spans="1:2" ht="12.5">
      <c r="A606" s="3"/>
      <c r="B606" s="4"/>
    </row>
    <row r="607" spans="1:2" ht="12.5">
      <c r="A607" s="3"/>
      <c r="B607" s="4"/>
    </row>
    <row r="608" spans="1:2" ht="12.5">
      <c r="A608" s="3"/>
      <c r="B608" s="4"/>
    </row>
    <row r="609" spans="1:2" ht="12.5">
      <c r="A609" s="3"/>
      <c r="B609" s="4"/>
    </row>
    <row r="610" spans="1:2" ht="12.5">
      <c r="A610" s="3"/>
      <c r="B610" s="4"/>
    </row>
    <row r="611" spans="1:2" ht="12.5">
      <c r="A611" s="3"/>
      <c r="B611" s="4"/>
    </row>
    <row r="612" spans="1:2" ht="12.5">
      <c r="A612" s="3"/>
      <c r="B612" s="4"/>
    </row>
    <row r="613" spans="1:2" ht="12.5">
      <c r="A613" s="3"/>
      <c r="B613" s="4"/>
    </row>
    <row r="614" spans="1:2" ht="12.5">
      <c r="A614" s="3"/>
      <c r="B614" s="4"/>
    </row>
    <row r="615" spans="1:2" ht="12.5">
      <c r="A615" s="3"/>
      <c r="B615" s="4"/>
    </row>
    <row r="616" spans="1:2" ht="12.5">
      <c r="A616" s="3"/>
      <c r="B616" s="4"/>
    </row>
    <row r="617" spans="1:2" ht="12.5">
      <c r="A617" s="3"/>
      <c r="B617" s="4"/>
    </row>
    <row r="618" spans="1:2" ht="12.5">
      <c r="A618" s="3"/>
      <c r="B618" s="4"/>
    </row>
    <row r="619" spans="1:2" ht="12.5">
      <c r="A619" s="3"/>
      <c r="B619" s="4"/>
    </row>
    <row r="620" spans="1:2" ht="12.5">
      <c r="A620" s="3"/>
      <c r="B620" s="4"/>
    </row>
    <row r="621" spans="1:2" ht="12.5">
      <c r="A621" s="3"/>
      <c r="B621" s="4"/>
    </row>
    <row r="622" spans="1:2" ht="12.5">
      <c r="A622" s="3"/>
      <c r="B622" s="4"/>
    </row>
    <row r="623" spans="1:2" ht="12.5">
      <c r="A623" s="3"/>
      <c r="B623" s="4"/>
    </row>
    <row r="624" spans="1:2" ht="12.5">
      <c r="A624" s="3"/>
      <c r="B624" s="4"/>
    </row>
    <row r="625" spans="1:2" ht="12.5">
      <c r="A625" s="3"/>
      <c r="B625" s="4"/>
    </row>
    <row r="626" spans="1:2" ht="12.5">
      <c r="A626" s="3"/>
      <c r="B626" s="4"/>
    </row>
    <row r="627" spans="1:2" ht="12.5">
      <c r="A627" s="3"/>
      <c r="B627" s="4"/>
    </row>
    <row r="628" spans="1:2" ht="12.5">
      <c r="A628" s="3"/>
      <c r="B628" s="4"/>
    </row>
    <row r="629" spans="1:2" ht="12.5">
      <c r="A629" s="3"/>
      <c r="B629" s="4"/>
    </row>
    <row r="630" spans="1:2" ht="12.5">
      <c r="A630" s="3"/>
      <c r="B630" s="4"/>
    </row>
    <row r="631" spans="1:2" ht="12.5">
      <c r="A631" s="3"/>
      <c r="B631" s="4"/>
    </row>
    <row r="632" spans="1:2" ht="12.5">
      <c r="A632" s="3"/>
      <c r="B632" s="4"/>
    </row>
    <row r="633" spans="1:2" ht="12.5">
      <c r="A633" s="3"/>
      <c r="B633" s="4"/>
    </row>
    <row r="634" spans="1:2" ht="12.5">
      <c r="A634" s="3"/>
      <c r="B634" s="4"/>
    </row>
    <row r="635" spans="1:2" ht="12.5">
      <c r="A635" s="3"/>
      <c r="B635" s="4"/>
    </row>
    <row r="636" spans="1:2" ht="12.5">
      <c r="A636" s="3"/>
      <c r="B636" s="4"/>
    </row>
    <row r="637" spans="1:2" ht="12.5">
      <c r="A637" s="3"/>
      <c r="B637" s="4"/>
    </row>
    <row r="638" spans="1:2" ht="12.5">
      <c r="A638" s="3"/>
      <c r="B638" s="4"/>
    </row>
    <row r="639" spans="1:2" ht="12.5">
      <c r="A639" s="3"/>
      <c r="B639" s="4"/>
    </row>
    <row r="640" spans="1:2" ht="12.5">
      <c r="A640" s="3"/>
      <c r="B640" s="4"/>
    </row>
    <row r="641" spans="1:2" ht="12.5">
      <c r="A641" s="3"/>
      <c r="B641" s="4"/>
    </row>
    <row r="642" spans="1:2" ht="12.5">
      <c r="A642" s="3"/>
      <c r="B642" s="4"/>
    </row>
    <row r="643" spans="1:2" ht="12.5">
      <c r="A643" s="3"/>
      <c r="B643" s="4"/>
    </row>
    <row r="644" spans="1:2" ht="12.5">
      <c r="A644" s="3"/>
      <c r="B644" s="4"/>
    </row>
    <row r="645" spans="1:2" ht="12.5">
      <c r="A645" s="3"/>
      <c r="B645" s="4"/>
    </row>
    <row r="646" spans="1:2" ht="12.5">
      <c r="A646" s="3"/>
      <c r="B646" s="4"/>
    </row>
    <row r="647" spans="1:2" ht="12.5">
      <c r="A647" s="3"/>
      <c r="B647" s="4"/>
    </row>
    <row r="648" spans="1:2" ht="12.5">
      <c r="A648" s="3"/>
      <c r="B648" s="4"/>
    </row>
    <row r="649" spans="1:2" ht="12.5">
      <c r="A649" s="3"/>
      <c r="B649" s="4"/>
    </row>
    <row r="650" spans="1:2" ht="12.5">
      <c r="A650" s="3"/>
      <c r="B650" s="4"/>
    </row>
    <row r="651" spans="1:2" ht="12.5">
      <c r="A651" s="3"/>
      <c r="B651" s="4"/>
    </row>
    <row r="652" spans="1:2" ht="12.5">
      <c r="A652" s="3"/>
      <c r="B652" s="4"/>
    </row>
    <row r="653" spans="1:2" ht="12.5">
      <c r="A653" s="3"/>
      <c r="B653" s="4"/>
    </row>
    <row r="654" spans="1:2" ht="12.5">
      <c r="A654" s="3"/>
      <c r="B654" s="4"/>
    </row>
    <row r="655" spans="1:2" ht="12.5">
      <c r="A655" s="3"/>
      <c r="B655" s="4"/>
    </row>
    <row r="656" spans="1:2" ht="12.5">
      <c r="A656" s="3"/>
      <c r="B656" s="4"/>
    </row>
    <row r="657" spans="1:2" ht="12.5">
      <c r="A657" s="3"/>
      <c r="B657" s="4"/>
    </row>
    <row r="658" spans="1:2" ht="12.5">
      <c r="A658" s="3"/>
      <c r="B658" s="4"/>
    </row>
    <row r="659" spans="1:2" ht="12.5">
      <c r="A659" s="3"/>
      <c r="B659" s="4"/>
    </row>
    <row r="660" spans="1:2" ht="12.5">
      <c r="A660" s="3"/>
      <c r="B660" s="4"/>
    </row>
    <row r="661" spans="1:2" ht="12.5">
      <c r="A661" s="3"/>
      <c r="B661" s="4"/>
    </row>
    <row r="662" spans="1:2" ht="12.5">
      <c r="A662" s="3"/>
      <c r="B662" s="4"/>
    </row>
    <row r="663" spans="1:2" ht="12.5">
      <c r="A663" s="3"/>
      <c r="B663" s="4"/>
    </row>
    <row r="664" spans="1:2" ht="12.5">
      <c r="A664" s="3"/>
      <c r="B664" s="4"/>
    </row>
    <row r="665" spans="1:2" ht="12.5">
      <c r="A665" s="3"/>
      <c r="B665" s="4"/>
    </row>
    <row r="666" spans="1:2" ht="12.5">
      <c r="A666" s="3"/>
      <c r="B666" s="4"/>
    </row>
    <row r="667" spans="1:2" ht="12.5">
      <c r="A667" s="3"/>
      <c r="B667" s="4"/>
    </row>
    <row r="668" spans="1:2" ht="12.5">
      <c r="A668" s="3"/>
      <c r="B668" s="4"/>
    </row>
    <row r="669" spans="1:2" ht="12.5">
      <c r="A669" s="3"/>
      <c r="B669" s="4"/>
    </row>
    <row r="670" spans="1:2" ht="12.5">
      <c r="A670" s="3"/>
      <c r="B670" s="4"/>
    </row>
    <row r="671" spans="1:2" ht="12.5">
      <c r="A671" s="3"/>
      <c r="B671" s="4"/>
    </row>
    <row r="672" spans="1:2" ht="12.5">
      <c r="A672" s="3"/>
      <c r="B672" s="4"/>
    </row>
    <row r="673" spans="1:2" ht="12.5">
      <c r="A673" s="3"/>
      <c r="B673" s="4"/>
    </row>
    <row r="674" spans="1:2" ht="12.5">
      <c r="A674" s="3"/>
      <c r="B674" s="4"/>
    </row>
    <row r="675" spans="1:2" ht="12.5">
      <c r="A675" s="3"/>
      <c r="B675" s="4"/>
    </row>
    <row r="676" spans="1:2" ht="12.5">
      <c r="A676" s="3"/>
      <c r="B676" s="4"/>
    </row>
    <row r="677" spans="1:2" ht="12.5">
      <c r="A677" s="3"/>
      <c r="B677" s="4"/>
    </row>
    <row r="678" spans="1:2" ht="12.5">
      <c r="A678" s="3"/>
      <c r="B678" s="4"/>
    </row>
    <row r="679" spans="1:2" ht="12.5">
      <c r="A679" s="3"/>
      <c r="B679" s="4"/>
    </row>
    <row r="680" spans="1:2" ht="12.5">
      <c r="A680" s="3"/>
      <c r="B680" s="4"/>
    </row>
    <row r="681" spans="1:2" ht="12.5">
      <c r="A681" s="3"/>
      <c r="B681" s="4"/>
    </row>
    <row r="682" spans="1:2" ht="12.5">
      <c r="A682" s="3"/>
      <c r="B682" s="4"/>
    </row>
    <row r="683" spans="1:2" ht="12.5">
      <c r="A683" s="3"/>
      <c r="B683" s="4"/>
    </row>
    <row r="684" spans="1:2" ht="12.5">
      <c r="A684" s="3"/>
      <c r="B684" s="4"/>
    </row>
    <row r="685" spans="1:2" ht="12.5">
      <c r="A685" s="3"/>
      <c r="B685" s="4"/>
    </row>
    <row r="686" spans="1:2" ht="12.5">
      <c r="A686" s="3"/>
      <c r="B686" s="4"/>
    </row>
    <row r="687" spans="1:2" ht="12.5">
      <c r="A687" s="3"/>
      <c r="B687" s="4"/>
    </row>
    <row r="688" spans="1:2" ht="12.5">
      <c r="A688" s="3"/>
      <c r="B688" s="4"/>
    </row>
    <row r="689" spans="1:2" ht="12.5">
      <c r="A689" s="3"/>
      <c r="B689" s="4"/>
    </row>
    <row r="690" spans="1:2" ht="12.5">
      <c r="A690" s="3"/>
      <c r="B690" s="4"/>
    </row>
    <row r="691" spans="1:2" ht="12.5">
      <c r="A691" s="3"/>
      <c r="B691" s="4"/>
    </row>
    <row r="692" spans="1:2" ht="12.5">
      <c r="A692" s="3"/>
      <c r="B692" s="4"/>
    </row>
    <row r="693" spans="1:2" ht="12.5">
      <c r="A693" s="3"/>
      <c r="B693" s="4"/>
    </row>
    <row r="694" spans="1:2" ht="12.5">
      <c r="A694" s="3"/>
      <c r="B694" s="4"/>
    </row>
    <row r="695" spans="1:2" ht="12.5">
      <c r="A695" s="3"/>
      <c r="B695" s="4"/>
    </row>
    <row r="696" spans="1:2" ht="12.5">
      <c r="A696" s="3"/>
      <c r="B696" s="4"/>
    </row>
    <row r="697" spans="1:2" ht="12.5">
      <c r="A697" s="3"/>
      <c r="B697" s="4"/>
    </row>
    <row r="698" spans="1:2" ht="12.5">
      <c r="A698" s="3"/>
      <c r="B698" s="4"/>
    </row>
    <row r="699" spans="1:2" ht="12.5">
      <c r="A699" s="3"/>
      <c r="B699" s="4"/>
    </row>
    <row r="700" spans="1:2" ht="12.5">
      <c r="A700" s="3"/>
      <c r="B700" s="4"/>
    </row>
    <row r="701" spans="1:2" ht="12.5">
      <c r="A701" s="3"/>
      <c r="B701" s="4"/>
    </row>
    <row r="702" spans="1:2" ht="12.5">
      <c r="A702" s="3"/>
      <c r="B702" s="4"/>
    </row>
    <row r="703" spans="1:2" ht="12.5">
      <c r="A703" s="3"/>
      <c r="B703" s="4"/>
    </row>
    <row r="704" spans="1:2" ht="12.5">
      <c r="A704" s="3"/>
      <c r="B704" s="4"/>
    </row>
    <row r="705" spans="1:2" ht="12.5">
      <c r="A705" s="3"/>
      <c r="B705" s="4"/>
    </row>
    <row r="706" spans="1:2" ht="12.5">
      <c r="A706" s="3"/>
      <c r="B706" s="4"/>
    </row>
    <row r="707" spans="1:2" ht="12.5">
      <c r="A707" s="3"/>
      <c r="B707" s="4"/>
    </row>
    <row r="708" spans="1:2" ht="12.5">
      <c r="A708" s="3"/>
      <c r="B708" s="4"/>
    </row>
    <row r="709" spans="1:2" ht="12.5">
      <c r="A709" s="3"/>
      <c r="B709" s="4"/>
    </row>
    <row r="710" spans="1:2" ht="12.5">
      <c r="A710" s="3"/>
      <c r="B710" s="4"/>
    </row>
    <row r="711" spans="1:2" ht="12.5">
      <c r="A711" s="3"/>
      <c r="B711" s="4"/>
    </row>
    <row r="712" spans="1:2" ht="12.5">
      <c r="A712" s="3"/>
      <c r="B712" s="4"/>
    </row>
    <row r="713" spans="1:2" ht="12.5">
      <c r="A713" s="3"/>
      <c r="B713" s="4"/>
    </row>
    <row r="714" spans="1:2" ht="12.5">
      <c r="A714" s="3"/>
      <c r="B714" s="4"/>
    </row>
    <row r="715" spans="1:2" ht="12.5">
      <c r="A715" s="3"/>
      <c r="B715" s="4"/>
    </row>
    <row r="716" spans="1:2" ht="12.5">
      <c r="A716" s="3"/>
      <c r="B716" s="4"/>
    </row>
    <row r="717" spans="1:2" ht="12.5">
      <c r="A717" s="3"/>
      <c r="B717" s="4"/>
    </row>
    <row r="718" spans="1:2" ht="12.5">
      <c r="A718" s="3"/>
      <c r="B718" s="4"/>
    </row>
    <row r="719" spans="1:2" ht="12.5">
      <c r="A719" s="3"/>
      <c r="B719" s="4"/>
    </row>
    <row r="720" spans="1:2" ht="12.5">
      <c r="A720" s="3"/>
      <c r="B720" s="4"/>
    </row>
    <row r="721" spans="1:2" ht="12.5">
      <c r="A721" s="3"/>
      <c r="B721" s="4"/>
    </row>
    <row r="722" spans="1:2" ht="12.5">
      <c r="A722" s="3"/>
      <c r="B722" s="4"/>
    </row>
    <row r="723" spans="1:2" ht="12.5">
      <c r="A723" s="3"/>
      <c r="B723" s="4"/>
    </row>
    <row r="724" spans="1:2" ht="12.5">
      <c r="A724" s="3"/>
      <c r="B724" s="4"/>
    </row>
    <row r="725" spans="1:2" ht="12.5">
      <c r="A725" s="3"/>
      <c r="B725" s="4"/>
    </row>
    <row r="726" spans="1:2" ht="12.5">
      <c r="A726" s="3"/>
      <c r="B726" s="4"/>
    </row>
    <row r="727" spans="1:2" ht="12.5">
      <c r="A727" s="3"/>
      <c r="B727" s="4"/>
    </row>
    <row r="728" spans="1:2" ht="12.5">
      <c r="A728" s="3"/>
      <c r="B728" s="4"/>
    </row>
    <row r="729" spans="1:2" ht="12.5">
      <c r="A729" s="3"/>
      <c r="B729" s="4"/>
    </row>
    <row r="730" spans="1:2" ht="12.5">
      <c r="A730" s="3"/>
      <c r="B730" s="4"/>
    </row>
    <row r="731" spans="1:2" ht="12.5">
      <c r="A731" s="3"/>
      <c r="B731" s="4"/>
    </row>
    <row r="732" spans="1:2" ht="12.5">
      <c r="A732" s="3"/>
      <c r="B732" s="4"/>
    </row>
    <row r="733" spans="1:2" ht="12.5">
      <c r="A733" s="3"/>
      <c r="B733" s="4"/>
    </row>
    <row r="734" spans="1:2" ht="12.5">
      <c r="A734" s="3"/>
      <c r="B734" s="4"/>
    </row>
    <row r="735" spans="1:2" ht="12.5">
      <c r="A735" s="3"/>
      <c r="B735" s="4"/>
    </row>
    <row r="736" spans="1:2" ht="12.5">
      <c r="A736" s="3"/>
      <c r="B736" s="4"/>
    </row>
    <row r="737" spans="1:2" ht="12.5">
      <c r="A737" s="3"/>
      <c r="B737" s="4"/>
    </row>
    <row r="738" spans="1:2" ht="12.5">
      <c r="A738" s="3"/>
      <c r="B738" s="4"/>
    </row>
    <row r="739" spans="1:2" ht="12.5">
      <c r="A739" s="3"/>
      <c r="B739" s="4"/>
    </row>
    <row r="740" spans="1:2" ht="12.5">
      <c r="A740" s="3"/>
      <c r="B740" s="4"/>
    </row>
    <row r="741" spans="1:2" ht="12.5">
      <c r="A741" s="3"/>
      <c r="B741" s="4"/>
    </row>
    <row r="742" spans="1:2" ht="12.5">
      <c r="A742" s="3"/>
      <c r="B742" s="4"/>
    </row>
    <row r="743" spans="1:2" ht="12.5">
      <c r="A743" s="3"/>
      <c r="B743" s="4"/>
    </row>
    <row r="744" spans="1:2" ht="12.5">
      <c r="A744" s="3"/>
      <c r="B744" s="4"/>
    </row>
    <row r="745" spans="1:2" ht="12.5">
      <c r="A745" s="3"/>
      <c r="B745" s="4"/>
    </row>
    <row r="746" spans="1:2" ht="12.5">
      <c r="A746" s="3"/>
      <c r="B746" s="4"/>
    </row>
    <row r="747" spans="1:2" ht="12.5">
      <c r="A747" s="3"/>
      <c r="B747" s="4"/>
    </row>
    <row r="748" spans="1:2" ht="12.5">
      <c r="A748" s="3"/>
      <c r="B748" s="4"/>
    </row>
    <row r="749" spans="1:2" ht="12.5">
      <c r="A749" s="3"/>
      <c r="B749" s="4"/>
    </row>
    <row r="750" spans="1:2" ht="12.5">
      <c r="A750" s="3"/>
      <c r="B750" s="4"/>
    </row>
    <row r="751" spans="1:2" ht="12.5">
      <c r="A751" s="3"/>
      <c r="B751" s="4"/>
    </row>
    <row r="752" spans="1:2" ht="12.5">
      <c r="A752" s="3"/>
      <c r="B752" s="4"/>
    </row>
    <row r="753" spans="1:2" ht="12.5">
      <c r="A753" s="3"/>
      <c r="B753" s="4"/>
    </row>
    <row r="754" spans="1:2" ht="12.5">
      <c r="A754" s="3"/>
      <c r="B754" s="4"/>
    </row>
    <row r="755" spans="1:2" ht="12.5">
      <c r="A755" s="3"/>
      <c r="B755" s="4"/>
    </row>
    <row r="756" spans="1:2" ht="12.5">
      <c r="A756" s="3"/>
      <c r="B756" s="4"/>
    </row>
    <row r="757" spans="1:2" ht="12.5">
      <c r="A757" s="3"/>
      <c r="B757" s="4"/>
    </row>
    <row r="758" spans="1:2" ht="12.5">
      <c r="A758" s="3"/>
      <c r="B758" s="4"/>
    </row>
    <row r="759" spans="1:2" ht="12.5">
      <c r="A759" s="3"/>
      <c r="B759" s="4"/>
    </row>
    <row r="760" spans="1:2" ht="12.5">
      <c r="A760" s="3"/>
      <c r="B760" s="4"/>
    </row>
    <row r="761" spans="1:2" ht="12.5">
      <c r="A761" s="3"/>
      <c r="B761" s="4"/>
    </row>
    <row r="762" spans="1:2" ht="12.5">
      <c r="A762" s="3"/>
      <c r="B762" s="4"/>
    </row>
    <row r="763" spans="1:2" ht="12.5">
      <c r="A763" s="3"/>
      <c r="B763" s="4"/>
    </row>
    <row r="764" spans="1:2" ht="12.5">
      <c r="A764" s="3"/>
      <c r="B764" s="4"/>
    </row>
    <row r="765" spans="1:2" ht="12.5">
      <c r="A765" s="3"/>
      <c r="B765" s="4"/>
    </row>
    <row r="766" spans="1:2" ht="12.5">
      <c r="A766" s="3"/>
      <c r="B766" s="4"/>
    </row>
    <row r="767" spans="1:2" ht="12.5">
      <c r="A767" s="3"/>
      <c r="B767" s="4"/>
    </row>
    <row r="768" spans="1:2" ht="12.5">
      <c r="A768" s="3"/>
      <c r="B768" s="4"/>
    </row>
    <row r="769" spans="1:2" ht="12.5">
      <c r="A769" s="3"/>
      <c r="B769" s="4"/>
    </row>
    <row r="770" spans="1:2" ht="12.5">
      <c r="A770" s="3"/>
      <c r="B770" s="4"/>
    </row>
    <row r="771" spans="1:2" ht="12.5">
      <c r="A771" s="3"/>
      <c r="B771" s="4"/>
    </row>
    <row r="772" spans="1:2" ht="12.5">
      <c r="A772" s="3"/>
      <c r="B772" s="4"/>
    </row>
    <row r="773" spans="1:2" ht="12.5">
      <c r="A773" s="3"/>
      <c r="B773" s="4"/>
    </row>
    <row r="774" spans="1:2" ht="12.5">
      <c r="A774" s="3"/>
      <c r="B774" s="4"/>
    </row>
    <row r="775" spans="1:2" ht="12.5">
      <c r="A775" s="3"/>
      <c r="B775" s="4"/>
    </row>
    <row r="776" spans="1:2" ht="12.5">
      <c r="A776" s="3"/>
      <c r="B776" s="4"/>
    </row>
    <row r="777" spans="1:2" ht="12.5">
      <c r="A777" s="3"/>
      <c r="B777" s="4"/>
    </row>
    <row r="778" spans="1:2" ht="12.5">
      <c r="A778" s="3"/>
      <c r="B778" s="4"/>
    </row>
    <row r="779" spans="1:2" ht="12.5">
      <c r="A779" s="3"/>
      <c r="B779" s="4"/>
    </row>
    <row r="780" spans="1:2" ht="12.5">
      <c r="A780" s="3"/>
      <c r="B780" s="4"/>
    </row>
    <row r="781" spans="1:2" ht="12.5">
      <c r="A781" s="3"/>
      <c r="B781" s="4"/>
    </row>
    <row r="782" spans="1:2" ht="12.5">
      <c r="A782" s="3"/>
      <c r="B782" s="4"/>
    </row>
    <row r="783" spans="1:2" ht="12.5">
      <c r="A783" s="3"/>
      <c r="B783" s="4"/>
    </row>
    <row r="784" spans="1:2" ht="12.5">
      <c r="A784" s="3"/>
      <c r="B784" s="4"/>
    </row>
    <row r="785" spans="1:2" ht="12.5">
      <c r="A785" s="3"/>
      <c r="B785" s="4"/>
    </row>
    <row r="786" spans="1:2" ht="12.5">
      <c r="A786" s="3"/>
      <c r="B786" s="4"/>
    </row>
    <row r="787" spans="1:2" ht="12.5">
      <c r="A787" s="3"/>
      <c r="B787" s="4"/>
    </row>
    <row r="788" spans="1:2" ht="12.5">
      <c r="A788" s="3"/>
      <c r="B788" s="4"/>
    </row>
    <row r="789" spans="1:2" ht="12.5">
      <c r="A789" s="3"/>
      <c r="B789" s="4"/>
    </row>
    <row r="790" spans="1:2" ht="12.5">
      <c r="A790" s="3"/>
      <c r="B790" s="4"/>
    </row>
    <row r="791" spans="1:2" ht="12.5">
      <c r="A791" s="3"/>
      <c r="B791" s="4"/>
    </row>
    <row r="792" spans="1:2" ht="12.5">
      <c r="A792" s="3"/>
      <c r="B792" s="4"/>
    </row>
    <row r="793" spans="1:2" ht="12.5">
      <c r="A793" s="3"/>
      <c r="B793" s="4"/>
    </row>
    <row r="794" spans="1:2" ht="12.5">
      <c r="A794" s="3"/>
      <c r="B794" s="4"/>
    </row>
    <row r="795" spans="1:2" ht="12.5">
      <c r="A795" s="3"/>
      <c r="B795" s="4"/>
    </row>
    <row r="796" spans="1:2" ht="12.5">
      <c r="A796" s="3"/>
      <c r="B796" s="4"/>
    </row>
    <row r="797" spans="1:2" ht="12.5">
      <c r="A797" s="3"/>
      <c r="B797" s="4"/>
    </row>
    <row r="798" spans="1:2" ht="12.5">
      <c r="A798" s="3"/>
      <c r="B798" s="4"/>
    </row>
    <row r="799" spans="1:2" ht="12.5">
      <c r="A799" s="3"/>
      <c r="B799" s="4"/>
    </row>
    <row r="800" spans="1:2" ht="12.5">
      <c r="A800" s="3"/>
      <c r="B800" s="4"/>
    </row>
    <row r="801" spans="1:2" ht="12.5">
      <c r="A801" s="3"/>
      <c r="B801" s="4"/>
    </row>
    <row r="802" spans="1:2" ht="12.5">
      <c r="A802" s="3"/>
      <c r="B802" s="4"/>
    </row>
    <row r="803" spans="1:2" ht="12.5">
      <c r="A803" s="3"/>
      <c r="B803" s="4"/>
    </row>
    <row r="804" spans="1:2" ht="12.5">
      <c r="A804" s="3"/>
      <c r="B804" s="4"/>
    </row>
    <row r="805" spans="1:2" ht="12.5">
      <c r="A805" s="3"/>
      <c r="B805" s="4"/>
    </row>
    <row r="806" spans="1:2" ht="12.5">
      <c r="A806" s="3"/>
      <c r="B806" s="4"/>
    </row>
    <row r="807" spans="1:2" ht="12.5">
      <c r="A807" s="3"/>
      <c r="B807" s="4"/>
    </row>
    <row r="808" spans="1:2" ht="12.5">
      <c r="A808" s="3"/>
      <c r="B808" s="4"/>
    </row>
    <row r="809" spans="1:2" ht="12.5">
      <c r="A809" s="3"/>
      <c r="B809" s="4"/>
    </row>
    <row r="810" spans="1:2" ht="12.5">
      <c r="A810" s="3"/>
      <c r="B810" s="4"/>
    </row>
    <row r="811" spans="1:2" ht="12.5">
      <c r="A811" s="3"/>
      <c r="B811" s="4"/>
    </row>
    <row r="812" spans="1:2" ht="12.5">
      <c r="A812" s="3"/>
      <c r="B812" s="4"/>
    </row>
    <row r="813" spans="1:2" ht="12.5">
      <c r="A813" s="3"/>
      <c r="B813" s="4"/>
    </row>
    <row r="814" spans="1:2" ht="12.5">
      <c r="A814" s="3"/>
      <c r="B814" s="4"/>
    </row>
    <row r="815" spans="1:2" ht="12.5">
      <c r="A815" s="3"/>
      <c r="B815" s="4"/>
    </row>
    <row r="816" spans="1:2" ht="12.5">
      <c r="A816" s="3"/>
      <c r="B816" s="4"/>
    </row>
    <row r="817" spans="1:2" ht="12.5">
      <c r="A817" s="3"/>
      <c r="B817" s="4"/>
    </row>
    <row r="818" spans="1:2" ht="12.5">
      <c r="A818" s="3"/>
      <c r="B818" s="4"/>
    </row>
    <row r="819" spans="1:2" ht="12.5">
      <c r="A819" s="3"/>
      <c r="B819" s="4"/>
    </row>
    <row r="820" spans="1:2" ht="12.5">
      <c r="A820" s="3"/>
      <c r="B820" s="4"/>
    </row>
    <row r="821" spans="1:2" ht="12.5">
      <c r="A821" s="3"/>
      <c r="B821" s="4"/>
    </row>
    <row r="822" spans="1:2" ht="12.5">
      <c r="A822" s="3"/>
      <c r="B822" s="4"/>
    </row>
    <row r="823" spans="1:2" ht="12.5">
      <c r="A823" s="3"/>
      <c r="B823" s="4"/>
    </row>
    <row r="824" spans="1:2" ht="12.5">
      <c r="A824" s="3"/>
      <c r="B824" s="4"/>
    </row>
    <row r="825" spans="1:2" ht="12.5">
      <c r="A825" s="3"/>
      <c r="B825" s="4"/>
    </row>
    <row r="826" spans="1:2" ht="12.5">
      <c r="A826" s="3"/>
      <c r="B826" s="4"/>
    </row>
    <row r="827" spans="1:2" ht="12.5">
      <c r="A827" s="3"/>
      <c r="B827" s="4"/>
    </row>
    <row r="828" spans="1:2" ht="12.5">
      <c r="A828" s="3"/>
      <c r="B828" s="4"/>
    </row>
    <row r="829" spans="1:2" ht="12.5">
      <c r="A829" s="3"/>
      <c r="B829" s="4"/>
    </row>
    <row r="830" spans="1:2" ht="12.5">
      <c r="A830" s="3"/>
      <c r="B830" s="4"/>
    </row>
    <row r="831" spans="1:2" ht="12.5">
      <c r="A831" s="3"/>
      <c r="B831" s="4"/>
    </row>
    <row r="832" spans="1:2" ht="12.5">
      <c r="A832" s="3"/>
      <c r="B832" s="4"/>
    </row>
    <row r="833" spans="1:2" ht="12.5">
      <c r="A833" s="3"/>
      <c r="B833" s="4"/>
    </row>
    <row r="834" spans="1:2" ht="12.5">
      <c r="A834" s="3"/>
      <c r="B834" s="4"/>
    </row>
    <row r="835" spans="1:2" ht="12.5">
      <c r="A835" s="3"/>
      <c r="B835" s="4"/>
    </row>
    <row r="836" spans="1:2" ht="12.5">
      <c r="A836" s="3"/>
      <c r="B836" s="4"/>
    </row>
    <row r="837" spans="1:2" ht="12.5">
      <c r="A837" s="3"/>
      <c r="B837" s="4"/>
    </row>
    <row r="838" spans="1:2" ht="12.5">
      <c r="A838" s="3"/>
      <c r="B838" s="4"/>
    </row>
    <row r="839" spans="1:2" ht="12.5">
      <c r="A839" s="3"/>
      <c r="B839" s="4"/>
    </row>
    <row r="840" spans="1:2" ht="12.5">
      <c r="A840" s="3"/>
      <c r="B840" s="4"/>
    </row>
    <row r="841" spans="1:2" ht="12.5">
      <c r="A841" s="3"/>
      <c r="B841" s="4"/>
    </row>
    <row r="842" spans="1:2" ht="12.5">
      <c r="A842" s="3"/>
      <c r="B842" s="4"/>
    </row>
    <row r="843" spans="1:2" ht="12.5">
      <c r="A843" s="3"/>
      <c r="B843" s="4"/>
    </row>
    <row r="844" spans="1:2" ht="12.5">
      <c r="A844" s="3"/>
      <c r="B844" s="4"/>
    </row>
    <row r="845" spans="1:2" ht="12.5">
      <c r="A845" s="3"/>
      <c r="B845" s="4"/>
    </row>
    <row r="846" spans="1:2" ht="12.5">
      <c r="A846" s="3"/>
      <c r="B846" s="4"/>
    </row>
    <row r="847" spans="1:2" ht="12.5">
      <c r="A847" s="3"/>
      <c r="B847" s="4"/>
    </row>
    <row r="848" spans="1:2" ht="12.5">
      <c r="A848" s="3"/>
      <c r="B848" s="4"/>
    </row>
    <row r="849" spans="1:2" ht="12.5">
      <c r="A849" s="3"/>
      <c r="B849" s="4"/>
    </row>
    <row r="850" spans="1:2" ht="12.5">
      <c r="A850" s="3"/>
      <c r="B850" s="4"/>
    </row>
    <row r="851" spans="1:2" ht="12.5">
      <c r="A851" s="3"/>
      <c r="B851" s="4"/>
    </row>
    <row r="852" spans="1:2" ht="12.5">
      <c r="A852" s="3"/>
      <c r="B852" s="4"/>
    </row>
    <row r="853" spans="1:2" ht="12.5">
      <c r="A853" s="3"/>
      <c r="B853" s="4"/>
    </row>
    <row r="854" spans="1:2" ht="12.5">
      <c r="A854" s="3"/>
      <c r="B854" s="4"/>
    </row>
    <row r="855" spans="1:2" ht="12.5">
      <c r="A855" s="3"/>
      <c r="B855" s="4"/>
    </row>
    <row r="856" spans="1:2" ht="12.5">
      <c r="A856" s="3"/>
      <c r="B856" s="4"/>
    </row>
    <row r="857" spans="1:2" ht="12.5">
      <c r="A857" s="3"/>
      <c r="B857" s="4"/>
    </row>
    <row r="858" spans="1:2" ht="12.5">
      <c r="A858" s="3"/>
      <c r="B858" s="4"/>
    </row>
    <row r="859" spans="1:2" ht="12.5">
      <c r="A859" s="3"/>
      <c r="B859" s="4"/>
    </row>
    <row r="860" spans="1:2" ht="12.5">
      <c r="A860" s="3"/>
      <c r="B860" s="4"/>
    </row>
    <row r="861" spans="1:2" ht="12.5">
      <c r="A861" s="3"/>
      <c r="B861" s="4"/>
    </row>
    <row r="862" spans="1:2" ht="12.5">
      <c r="A862" s="3"/>
      <c r="B862" s="4"/>
    </row>
    <row r="863" spans="1:2" ht="12.5">
      <c r="A863" s="3"/>
      <c r="B863" s="4"/>
    </row>
    <row r="864" spans="1:2" ht="12.5">
      <c r="A864" s="3"/>
      <c r="B864" s="4"/>
    </row>
    <row r="865" spans="1:2" ht="12.5">
      <c r="A865" s="3"/>
      <c r="B865" s="4"/>
    </row>
    <row r="866" spans="1:2" ht="12.5">
      <c r="A866" s="3"/>
      <c r="B866" s="4"/>
    </row>
    <row r="867" spans="1:2" ht="12.5">
      <c r="A867" s="3"/>
      <c r="B867" s="4"/>
    </row>
    <row r="868" spans="1:2" ht="12.5">
      <c r="A868" s="3"/>
      <c r="B868" s="4"/>
    </row>
    <row r="869" spans="1:2" ht="12.5">
      <c r="A869" s="3"/>
      <c r="B869" s="4"/>
    </row>
    <row r="870" spans="1:2" ht="12.5">
      <c r="A870" s="3"/>
      <c r="B870" s="4"/>
    </row>
    <row r="871" spans="1:2" ht="12.5">
      <c r="A871" s="3"/>
      <c r="B871" s="4"/>
    </row>
    <row r="872" spans="1:2" ht="12.5">
      <c r="A872" s="3"/>
      <c r="B872" s="4"/>
    </row>
    <row r="873" spans="1:2" ht="12.5">
      <c r="A873" s="3"/>
      <c r="B873" s="4"/>
    </row>
    <row r="874" spans="1:2" ht="12.5">
      <c r="A874" s="3"/>
      <c r="B874" s="4"/>
    </row>
    <row r="875" spans="1:2" ht="12.5">
      <c r="A875" s="3"/>
      <c r="B875" s="4"/>
    </row>
    <row r="876" spans="1:2" ht="12.5">
      <c r="A876" s="3"/>
      <c r="B876" s="4"/>
    </row>
    <row r="877" spans="1:2" ht="12.5">
      <c r="A877" s="3"/>
      <c r="B877" s="4"/>
    </row>
    <row r="878" spans="1:2" ht="12.5">
      <c r="A878" s="3"/>
      <c r="B878" s="4"/>
    </row>
    <row r="879" spans="1:2" ht="12.5">
      <c r="A879" s="3"/>
      <c r="B879" s="4"/>
    </row>
    <row r="880" spans="1:2" ht="12.5">
      <c r="A880" s="3"/>
      <c r="B880" s="4"/>
    </row>
    <row r="881" spans="1:2" ht="12.5">
      <c r="A881" s="3"/>
      <c r="B881" s="4"/>
    </row>
    <row r="882" spans="1:2" ht="12.5">
      <c r="A882" s="3"/>
      <c r="B882" s="4"/>
    </row>
    <row r="883" spans="1:2" ht="12.5">
      <c r="A883" s="3"/>
      <c r="B883" s="4"/>
    </row>
    <row r="884" spans="1:2" ht="12.5">
      <c r="A884" s="3"/>
      <c r="B884" s="4"/>
    </row>
    <row r="885" spans="1:2" ht="12.5">
      <c r="A885" s="3"/>
      <c r="B885" s="4"/>
    </row>
    <row r="886" spans="1:2" ht="12.5">
      <c r="A886" s="3"/>
      <c r="B886" s="4"/>
    </row>
    <row r="887" spans="1:2" ht="12.5">
      <c r="A887" s="3"/>
      <c r="B887" s="4"/>
    </row>
    <row r="888" spans="1:2" ht="12.5">
      <c r="A888" s="3"/>
      <c r="B888" s="4"/>
    </row>
    <row r="889" spans="1:2" ht="12.5">
      <c r="A889" s="3"/>
      <c r="B889" s="4"/>
    </row>
    <row r="890" spans="1:2" ht="12.5">
      <c r="A890" s="3"/>
      <c r="B890" s="4"/>
    </row>
    <row r="891" spans="1:2" ht="12.5">
      <c r="A891" s="3"/>
      <c r="B891" s="4"/>
    </row>
    <row r="892" spans="1:2" ht="12.5">
      <c r="A892" s="3"/>
      <c r="B892" s="4"/>
    </row>
    <row r="893" spans="1:2" ht="12.5">
      <c r="A893" s="3"/>
      <c r="B893" s="4"/>
    </row>
    <row r="894" spans="1:2" ht="12.5">
      <c r="A894" s="3"/>
      <c r="B894" s="4"/>
    </row>
    <row r="895" spans="1:2" ht="12.5">
      <c r="A895" s="3"/>
      <c r="B895" s="4"/>
    </row>
    <row r="896" spans="1:2" ht="12.5">
      <c r="A896" s="3"/>
      <c r="B896" s="4"/>
    </row>
    <row r="897" spans="1:2" ht="12.5">
      <c r="A897" s="3"/>
      <c r="B897" s="4"/>
    </row>
    <row r="898" spans="1:2" ht="12.5">
      <c r="A898" s="3"/>
      <c r="B898" s="4"/>
    </row>
    <row r="899" spans="1:2" ht="12.5">
      <c r="A899" s="3"/>
      <c r="B899" s="4"/>
    </row>
    <row r="900" spans="1:2" ht="12.5">
      <c r="A900" s="3"/>
      <c r="B900" s="4"/>
    </row>
    <row r="901" spans="1:2" ht="12.5">
      <c r="A901" s="3"/>
      <c r="B901" s="4"/>
    </row>
    <row r="902" spans="1:2" ht="12.5">
      <c r="A902" s="3"/>
      <c r="B902" s="4"/>
    </row>
    <row r="903" spans="1:2" ht="12.5">
      <c r="A903" s="3"/>
      <c r="B903" s="4"/>
    </row>
    <row r="904" spans="1:2" ht="12.5">
      <c r="A904" s="3"/>
      <c r="B904" s="4"/>
    </row>
    <row r="905" spans="1:2" ht="12.5">
      <c r="A905" s="3"/>
      <c r="B905" s="4"/>
    </row>
    <row r="906" spans="1:2" ht="12.5">
      <c r="A906" s="3"/>
      <c r="B906" s="4"/>
    </row>
    <row r="907" spans="1:2" ht="12.5">
      <c r="A907" s="3"/>
      <c r="B907" s="4"/>
    </row>
    <row r="908" spans="1:2" ht="12.5">
      <c r="A908" s="3"/>
      <c r="B908" s="4"/>
    </row>
    <row r="909" spans="1:2" ht="12.5">
      <c r="A909" s="3"/>
      <c r="B909" s="4"/>
    </row>
    <row r="910" spans="1:2" ht="12.5">
      <c r="A910" s="3"/>
      <c r="B910" s="4"/>
    </row>
    <row r="911" spans="1:2" ht="12.5">
      <c r="A911" s="3"/>
      <c r="B911" s="4"/>
    </row>
    <row r="912" spans="1:2" ht="12.5">
      <c r="A912" s="3"/>
      <c r="B912" s="4"/>
    </row>
    <row r="913" spans="1:2" ht="12.5">
      <c r="A913" s="3"/>
      <c r="B913" s="4"/>
    </row>
    <row r="914" spans="1:2" ht="12.5">
      <c r="A914" s="3"/>
      <c r="B914" s="4"/>
    </row>
    <row r="915" spans="1:2" ht="12.5">
      <c r="A915" s="3"/>
      <c r="B915" s="4"/>
    </row>
    <row r="916" spans="1:2" ht="12.5">
      <c r="A916" s="3"/>
      <c r="B916" s="4"/>
    </row>
    <row r="917" spans="1:2" ht="12.5">
      <c r="A917" s="3"/>
      <c r="B917" s="4"/>
    </row>
    <row r="918" spans="1:2" ht="12.5">
      <c r="A918" s="3"/>
      <c r="B918" s="4"/>
    </row>
    <row r="919" spans="1:2" ht="12.5">
      <c r="A919" s="3"/>
      <c r="B919" s="4"/>
    </row>
    <row r="920" spans="1:2" ht="12.5">
      <c r="A920" s="3"/>
      <c r="B920" s="4"/>
    </row>
    <row r="921" spans="1:2" ht="12.5">
      <c r="A921" s="3"/>
      <c r="B921" s="4"/>
    </row>
    <row r="922" spans="1:2" ht="12.5">
      <c r="A922" s="3"/>
      <c r="B922" s="4"/>
    </row>
    <row r="923" spans="1:2" ht="12.5">
      <c r="A923" s="3"/>
      <c r="B923" s="4"/>
    </row>
    <row r="924" spans="1:2" ht="12.5">
      <c r="A924" s="3"/>
      <c r="B924" s="4"/>
    </row>
    <row r="925" spans="1:2" ht="12.5">
      <c r="A925" s="3"/>
      <c r="B925" s="4"/>
    </row>
    <row r="926" spans="1:2" ht="12.5">
      <c r="A926" s="3"/>
      <c r="B926" s="4"/>
    </row>
    <row r="927" spans="1:2" ht="12.5">
      <c r="A927" s="3"/>
      <c r="B927" s="4"/>
    </row>
    <row r="928" spans="1:2" ht="12.5">
      <c r="A928" s="3"/>
      <c r="B928" s="4"/>
    </row>
    <row r="929" spans="1:2" ht="12.5">
      <c r="A929" s="3"/>
      <c r="B929" s="4"/>
    </row>
    <row r="930" spans="1:2" ht="12.5">
      <c r="A930" s="3"/>
      <c r="B930" s="4"/>
    </row>
    <row r="931" spans="1:2" ht="12.5">
      <c r="A931" s="3"/>
      <c r="B931" s="4"/>
    </row>
    <row r="932" spans="1:2" ht="12.5">
      <c r="A932" s="3"/>
      <c r="B932" s="4"/>
    </row>
    <row r="933" spans="1:2" ht="12.5">
      <c r="A933" s="3"/>
      <c r="B933" s="4"/>
    </row>
    <row r="934" spans="1:2" ht="12.5">
      <c r="A934" s="3"/>
      <c r="B934" s="4"/>
    </row>
    <row r="935" spans="1:2" ht="12.5">
      <c r="A935" s="3"/>
      <c r="B935" s="4"/>
    </row>
    <row r="936" spans="1:2" ht="12.5">
      <c r="A936" s="3"/>
      <c r="B936" s="4"/>
    </row>
    <row r="937" spans="1:2" ht="12.5">
      <c r="A937" s="3"/>
      <c r="B937" s="4"/>
    </row>
    <row r="938" spans="1:2" ht="12.5">
      <c r="A938" s="3"/>
      <c r="B938" s="4"/>
    </row>
    <row r="939" spans="1:2" ht="12.5">
      <c r="A939" s="3"/>
      <c r="B939" s="4"/>
    </row>
    <row r="940" spans="1:2" ht="12.5">
      <c r="A940" s="3"/>
      <c r="B940" s="4"/>
    </row>
    <row r="941" spans="1:2" ht="12.5">
      <c r="A941" s="3"/>
      <c r="B941" s="4"/>
    </row>
    <row r="942" spans="1:2" ht="12.5">
      <c r="A942" s="3"/>
      <c r="B942" s="4"/>
    </row>
    <row r="943" spans="1:2" ht="12.5">
      <c r="A943" s="3"/>
      <c r="B943" s="4"/>
    </row>
    <row r="944" spans="1:2" ht="12.5">
      <c r="A944" s="3"/>
      <c r="B944" s="4"/>
    </row>
    <row r="945" spans="1:2" ht="12.5">
      <c r="A945" s="3"/>
      <c r="B945" s="4"/>
    </row>
    <row r="946" spans="1:2" ht="12.5">
      <c r="A946" s="3"/>
      <c r="B946" s="4"/>
    </row>
    <row r="947" spans="1:2" ht="12.5">
      <c r="A947" s="3"/>
      <c r="B947" s="4"/>
    </row>
    <row r="948" spans="1:2" ht="12.5">
      <c r="A948" s="3"/>
      <c r="B948" s="4"/>
    </row>
    <row r="949" spans="1:2" ht="12.5">
      <c r="A949" s="3"/>
      <c r="B949" s="4"/>
    </row>
    <row r="950" spans="1:2" ht="12.5">
      <c r="A950" s="3"/>
      <c r="B950" s="4"/>
    </row>
    <row r="951" spans="1:2" ht="12.5">
      <c r="A951" s="3"/>
      <c r="B951" s="4"/>
    </row>
    <row r="952" spans="1:2" ht="12.5">
      <c r="A952" s="3"/>
      <c r="B952" s="4"/>
    </row>
    <row r="953" spans="1:2" ht="12.5">
      <c r="A953" s="3"/>
      <c r="B953" s="4"/>
    </row>
    <row r="954" spans="1:2" ht="12.5">
      <c r="A954" s="3"/>
      <c r="B954" s="4"/>
    </row>
    <row r="955" spans="1:2" ht="12.5">
      <c r="A955" s="3"/>
      <c r="B955" s="4"/>
    </row>
    <row r="956" spans="1:2" ht="12.5">
      <c r="A956" s="3"/>
      <c r="B956" s="4"/>
    </row>
    <row r="957" spans="1:2" ht="12.5">
      <c r="A957" s="3"/>
      <c r="B957" s="4"/>
    </row>
    <row r="958" spans="1:2" ht="12.5">
      <c r="A958" s="3"/>
      <c r="B958" s="4"/>
    </row>
    <row r="959" spans="1:2" ht="12.5">
      <c r="A959" s="3"/>
      <c r="B959" s="4"/>
    </row>
    <row r="960" spans="1:2" ht="12.5">
      <c r="A960" s="3"/>
      <c r="B960" s="4"/>
    </row>
    <row r="961" spans="1:2" ht="12.5">
      <c r="A961" s="3"/>
      <c r="B961" s="4"/>
    </row>
    <row r="962" spans="1:2" ht="12.5">
      <c r="A962" s="3"/>
      <c r="B962" s="4"/>
    </row>
    <row r="963" spans="1:2" ht="12.5">
      <c r="A963" s="3"/>
      <c r="B963" s="4"/>
    </row>
    <row r="964" spans="1:2" ht="12.5">
      <c r="A964" s="3"/>
      <c r="B964" s="4"/>
    </row>
    <row r="965" spans="1:2" ht="12.5">
      <c r="A965" s="3"/>
      <c r="B965" s="4"/>
    </row>
    <row r="966" spans="1:2" ht="12.5">
      <c r="A966" s="3"/>
      <c r="B966" s="4"/>
    </row>
    <row r="967" spans="1:2" ht="12.5">
      <c r="A967" s="3"/>
      <c r="B967" s="4"/>
    </row>
    <row r="968" spans="1:2" ht="12.5">
      <c r="A968" s="3"/>
      <c r="B968" s="4"/>
    </row>
    <row r="969" spans="1:2" ht="12.5">
      <c r="A969" s="3"/>
      <c r="B969" s="4"/>
    </row>
    <row r="970" spans="1:2" ht="12.5">
      <c r="A970" s="3"/>
      <c r="B970" s="4"/>
    </row>
    <row r="971" spans="1:2" ht="12.5">
      <c r="A971" s="3"/>
      <c r="B971" s="4"/>
    </row>
    <row r="972" spans="1:2" ht="12.5">
      <c r="A972" s="3"/>
      <c r="B972" s="4"/>
    </row>
    <row r="973" spans="1:2" ht="12.5">
      <c r="A973" s="3"/>
      <c r="B973" s="4"/>
    </row>
    <row r="974" spans="1:2" ht="12.5">
      <c r="A974" s="3"/>
      <c r="B974" s="4"/>
    </row>
    <row r="975" spans="1:2" ht="12.5">
      <c r="A975" s="3"/>
      <c r="B975" s="4"/>
    </row>
    <row r="976" spans="1:2" ht="12.5">
      <c r="A976" s="3"/>
      <c r="B976" s="4"/>
    </row>
    <row r="977" spans="1:2" ht="12.5">
      <c r="A977" s="3"/>
      <c r="B977" s="4"/>
    </row>
    <row r="978" spans="1:2" ht="12.5">
      <c r="A978" s="3"/>
      <c r="B978" s="4"/>
    </row>
    <row r="979" spans="1:2" ht="12.5">
      <c r="A979" s="3"/>
      <c r="B979" s="4"/>
    </row>
    <row r="980" spans="1:2" ht="12.5">
      <c r="A980" s="3"/>
      <c r="B980" s="4"/>
    </row>
    <row r="981" spans="1:2" ht="12.5">
      <c r="A981" s="3"/>
      <c r="B981" s="4"/>
    </row>
    <row r="982" spans="1:2" ht="12.5">
      <c r="A982" s="3"/>
      <c r="B982" s="4"/>
    </row>
    <row r="983" spans="1:2" ht="12.5">
      <c r="A983" s="3"/>
      <c r="B983" s="4"/>
    </row>
    <row r="984" spans="1:2" ht="12.5">
      <c r="A984" s="3"/>
      <c r="B984" s="4"/>
    </row>
    <row r="985" spans="1:2" ht="12.5">
      <c r="A985" s="3"/>
      <c r="B985" s="4"/>
    </row>
    <row r="986" spans="1:2" ht="12.5">
      <c r="A986" s="3"/>
      <c r="B986" s="4"/>
    </row>
    <row r="987" spans="1:2" ht="12.5">
      <c r="A987" s="3"/>
      <c r="B987" s="4"/>
    </row>
    <row r="988" spans="1:2" ht="12.5">
      <c r="A988" s="3"/>
      <c r="B988" s="4"/>
    </row>
    <row r="989" spans="1:2" ht="12.5">
      <c r="A989" s="3"/>
      <c r="B989" s="4"/>
    </row>
    <row r="990" spans="1:2" ht="12.5">
      <c r="A990" s="3"/>
      <c r="B990" s="4"/>
    </row>
    <row r="991" spans="1:2" ht="12.5">
      <c r="A991" s="3"/>
      <c r="B991" s="4"/>
    </row>
    <row r="992" spans="1:2" ht="12.5">
      <c r="A992" s="3"/>
      <c r="B992" s="4"/>
    </row>
    <row r="993" spans="1:2" ht="12.5">
      <c r="A993" s="3"/>
      <c r="B993" s="4"/>
    </row>
    <row r="994" spans="1:2" ht="12.5">
      <c r="A994" s="3"/>
      <c r="B994" s="4"/>
    </row>
    <row r="995" spans="1:2" ht="12.5">
      <c r="A995" s="3"/>
      <c r="B995" s="4"/>
    </row>
    <row r="996" spans="1:2" ht="12.5">
      <c r="A996" s="3"/>
      <c r="B996" s="4"/>
    </row>
    <row r="997" spans="1:2" ht="12.5">
      <c r="A997" s="3"/>
      <c r="B997" s="4"/>
    </row>
    <row r="998" spans="1:2" ht="12.5">
      <c r="A998" s="3"/>
      <c r="B998" s="4"/>
    </row>
    <row r="999" spans="1:2" ht="12.5">
      <c r="A999" s="3"/>
      <c r="B999" s="4"/>
    </row>
    <row r="1000" spans="1:2" ht="12.5">
      <c r="A1000" s="3"/>
      <c r="B100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883"/>
  <sheetViews>
    <sheetView tabSelected="1" topLeftCell="B1" workbookViewId="0">
      <selection activeCell="E1" sqref="E1"/>
    </sheetView>
  </sheetViews>
  <sheetFormatPr defaultColWidth="12.6328125" defaultRowHeight="15.75" customHeight="1"/>
  <cols>
    <col min="1" max="1" width="7.453125" bestFit="1" customWidth="1"/>
    <col min="2" max="2" width="15.6328125" bestFit="1" customWidth="1"/>
    <col min="3" max="3" width="16.54296875" bestFit="1" customWidth="1"/>
    <col min="4" max="4" width="19.7265625" customWidth="1"/>
    <col min="5" max="5" width="32.453125" customWidth="1"/>
    <col min="6" max="8" width="32.6328125" bestFit="1" customWidth="1"/>
    <col min="9" max="9" width="36.6328125" customWidth="1"/>
    <col min="10" max="10" width="32.36328125" customWidth="1"/>
    <col min="11" max="11" width="16.81640625" bestFit="1" customWidth="1"/>
    <col min="12" max="12" width="12" bestFit="1" customWidth="1"/>
  </cols>
  <sheetData>
    <row r="1" spans="1:26" ht="14.5">
      <c r="A1" s="114" t="s">
        <v>58</v>
      </c>
      <c r="B1" s="112"/>
      <c r="C1" s="54" t="s">
        <v>59</v>
      </c>
      <c r="D1" s="55" t="s">
        <v>60</v>
      </c>
      <c r="E1" s="56">
        <v>46260</v>
      </c>
      <c r="F1" s="57" t="s">
        <v>61</v>
      </c>
      <c r="G1" s="58" t="str">
        <f>G2</f>
        <v xml:space="preserve"> - -</v>
      </c>
      <c r="H1" s="59"/>
      <c r="I1" s="59"/>
      <c r="J1" s="60"/>
      <c r="K1" s="113" t="s">
        <v>62</v>
      </c>
      <c r="L1" s="112"/>
      <c r="M1" s="47"/>
    </row>
    <row r="2" spans="1:26" ht="14.5">
      <c r="A2" s="114" t="s">
        <v>63</v>
      </c>
      <c r="B2" s="112"/>
      <c r="C2" s="58" t="s">
        <v>5</v>
      </c>
      <c r="D2" s="55" t="s">
        <v>64</v>
      </c>
      <c r="E2" s="62"/>
      <c r="F2" s="57" t="s">
        <v>65</v>
      </c>
      <c r="G2" s="58" t="s">
        <v>66</v>
      </c>
      <c r="H2" s="59"/>
      <c r="I2" s="59"/>
      <c r="J2" s="60"/>
      <c r="K2" s="63" t="s">
        <v>67</v>
      </c>
      <c r="L2" s="64">
        <f>COUNTIF(L8:L207, "Passed")</f>
        <v>171</v>
      </c>
      <c r="M2" s="47"/>
    </row>
    <row r="3" spans="1:26" ht="29">
      <c r="A3" s="114"/>
      <c r="B3" s="112"/>
      <c r="C3" s="65"/>
      <c r="D3" s="55" t="s">
        <v>68</v>
      </c>
      <c r="E3" s="62" t="s">
        <v>69</v>
      </c>
      <c r="F3" s="57" t="s">
        <v>70</v>
      </c>
      <c r="G3" s="58" t="s">
        <v>71</v>
      </c>
      <c r="H3" s="59"/>
      <c r="I3" s="59"/>
      <c r="J3" s="60"/>
      <c r="K3" s="66" t="s">
        <v>72</v>
      </c>
      <c r="L3" s="64">
        <f>COUNTIF(L8:L207, "Failed")</f>
        <v>29</v>
      </c>
      <c r="M3" s="47"/>
    </row>
    <row r="4" spans="1:26" ht="29">
      <c r="A4" s="114" t="s">
        <v>73</v>
      </c>
      <c r="B4" s="112"/>
      <c r="C4" s="65"/>
      <c r="D4" s="55" t="s">
        <v>74</v>
      </c>
      <c r="E4" s="67" t="s">
        <v>75</v>
      </c>
      <c r="F4" s="57" t="s">
        <v>76</v>
      </c>
      <c r="G4" s="58" t="s">
        <v>77</v>
      </c>
      <c r="H4" s="59"/>
      <c r="I4" s="59"/>
      <c r="J4" s="60"/>
      <c r="K4" s="68" t="s">
        <v>78</v>
      </c>
      <c r="L4" s="64">
        <f>COUNTIF(F7:F33, "Not Executed")</f>
        <v>0</v>
      </c>
      <c r="M4" s="47"/>
    </row>
    <row r="5" spans="1:26" ht="14">
      <c r="A5" s="115" t="s">
        <v>79</v>
      </c>
      <c r="B5" s="112"/>
      <c r="C5" s="111" t="s">
        <v>69</v>
      </c>
      <c r="D5" s="112"/>
      <c r="E5" s="112"/>
      <c r="F5" s="112"/>
      <c r="G5" s="112"/>
      <c r="H5" s="112"/>
      <c r="I5" s="112"/>
      <c r="J5" s="60"/>
      <c r="K5" s="69" t="s">
        <v>80</v>
      </c>
      <c r="L5" s="70">
        <f>COUNTIF(F7:F33, "Out of Scope")</f>
        <v>0</v>
      </c>
      <c r="M5" s="47"/>
    </row>
    <row r="6" spans="1:26" ht="14">
      <c r="A6" s="71"/>
      <c r="B6" s="72"/>
      <c r="C6" s="72"/>
      <c r="D6" s="72"/>
      <c r="E6" s="67"/>
      <c r="F6" s="67"/>
      <c r="G6" s="67"/>
      <c r="H6" s="67"/>
      <c r="I6" s="73"/>
      <c r="J6" s="60"/>
      <c r="K6" s="61" t="s">
        <v>83</v>
      </c>
      <c r="L6" s="74">
        <f>SUM(L2:L5)</f>
        <v>200</v>
      </c>
      <c r="M6" s="47"/>
    </row>
    <row r="7" spans="1:26" ht="15.5">
      <c r="A7" s="75" t="s">
        <v>88</v>
      </c>
      <c r="B7" s="76" t="s">
        <v>2</v>
      </c>
      <c r="C7" s="75" t="s">
        <v>90</v>
      </c>
      <c r="D7" s="75" t="s">
        <v>92</v>
      </c>
      <c r="E7" s="77" t="s">
        <v>94</v>
      </c>
      <c r="F7" s="78" t="s">
        <v>96</v>
      </c>
      <c r="G7" s="79" t="s">
        <v>97</v>
      </c>
      <c r="H7" s="77" t="s">
        <v>98</v>
      </c>
      <c r="I7" s="80" t="s">
        <v>99</v>
      </c>
      <c r="J7" s="81" t="s">
        <v>100</v>
      </c>
      <c r="K7" s="82" t="s">
        <v>102</v>
      </c>
      <c r="L7" s="83" t="s">
        <v>104</v>
      </c>
      <c r="M7" s="48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70">
      <c r="A8" s="84" t="s">
        <v>108</v>
      </c>
      <c r="B8" s="84" t="s">
        <v>5</v>
      </c>
      <c r="C8" s="84" t="s">
        <v>110</v>
      </c>
      <c r="D8" s="84" t="s">
        <v>112</v>
      </c>
      <c r="E8" s="85" t="s">
        <v>113</v>
      </c>
      <c r="F8" s="86" t="s">
        <v>86</v>
      </c>
      <c r="G8" s="84" t="s">
        <v>115</v>
      </c>
      <c r="H8" s="85" t="s">
        <v>116</v>
      </c>
      <c r="I8" s="85" t="s">
        <v>117</v>
      </c>
      <c r="J8" s="87" t="s">
        <v>118</v>
      </c>
      <c r="K8" s="88"/>
      <c r="L8" s="89" t="s">
        <v>126</v>
      </c>
      <c r="M8" s="49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70">
      <c r="A9" s="84" t="s">
        <v>128</v>
      </c>
      <c r="B9" s="84" t="s">
        <v>5</v>
      </c>
      <c r="C9" s="84" t="s">
        <v>110</v>
      </c>
      <c r="D9" s="84" t="s">
        <v>112</v>
      </c>
      <c r="E9" s="73" t="s">
        <v>129</v>
      </c>
      <c r="F9" s="86" t="s">
        <v>131</v>
      </c>
      <c r="G9" s="84" t="s">
        <v>115</v>
      </c>
      <c r="H9" s="85" t="s">
        <v>132</v>
      </c>
      <c r="I9" s="85" t="s">
        <v>133</v>
      </c>
      <c r="J9" s="87" t="s">
        <v>118</v>
      </c>
      <c r="K9" s="90"/>
      <c r="L9" s="91" t="s">
        <v>137</v>
      </c>
      <c r="M9" s="50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56">
      <c r="A10" s="84" t="s">
        <v>138</v>
      </c>
      <c r="B10" s="84" t="s">
        <v>5</v>
      </c>
      <c r="C10" s="84" t="s">
        <v>110</v>
      </c>
      <c r="D10" s="84" t="s">
        <v>112</v>
      </c>
      <c r="E10" s="73" t="s">
        <v>139</v>
      </c>
      <c r="F10" s="86" t="s">
        <v>119</v>
      </c>
      <c r="G10" s="84" t="s">
        <v>141</v>
      </c>
      <c r="H10" s="85" t="s">
        <v>142</v>
      </c>
      <c r="I10" s="85" t="s">
        <v>143</v>
      </c>
      <c r="J10" s="87" t="s">
        <v>144</v>
      </c>
      <c r="K10" s="90"/>
      <c r="L10" s="91" t="s">
        <v>137</v>
      </c>
      <c r="M10" s="50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56">
      <c r="A11" s="84" t="s">
        <v>150</v>
      </c>
      <c r="B11" s="84" t="s">
        <v>5</v>
      </c>
      <c r="C11" s="84" t="s">
        <v>110</v>
      </c>
      <c r="D11" s="84" t="s">
        <v>112</v>
      </c>
      <c r="E11" s="92" t="s">
        <v>152</v>
      </c>
      <c r="F11" s="86" t="s">
        <v>146</v>
      </c>
      <c r="G11" s="85" t="s">
        <v>154</v>
      </c>
      <c r="H11" s="85" t="s">
        <v>155</v>
      </c>
      <c r="I11" s="85" t="s">
        <v>156</v>
      </c>
      <c r="J11" s="87" t="s">
        <v>157</v>
      </c>
      <c r="K11" s="93"/>
      <c r="L11" s="91" t="s">
        <v>137</v>
      </c>
      <c r="M11" s="50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7.5">
      <c r="A12" s="84" t="s">
        <v>158</v>
      </c>
      <c r="B12" s="84" t="s">
        <v>5</v>
      </c>
      <c r="C12" s="84" t="s">
        <v>110</v>
      </c>
      <c r="D12" s="84" t="s">
        <v>112</v>
      </c>
      <c r="E12" s="85" t="s">
        <v>159</v>
      </c>
      <c r="F12" s="86" t="s">
        <v>160</v>
      </c>
      <c r="G12" s="85" t="s">
        <v>161</v>
      </c>
      <c r="H12" s="85" t="s">
        <v>163</v>
      </c>
      <c r="I12" s="85" t="s">
        <v>164</v>
      </c>
      <c r="J12" s="87" t="s">
        <v>165</v>
      </c>
      <c r="K12" s="94"/>
      <c r="L12" s="91" t="s">
        <v>137</v>
      </c>
      <c r="M12" s="51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50">
      <c r="A13" s="84" t="s">
        <v>168</v>
      </c>
      <c r="B13" s="85" t="s">
        <v>5</v>
      </c>
      <c r="C13" s="85" t="s">
        <v>110</v>
      </c>
      <c r="D13" s="85" t="s">
        <v>112</v>
      </c>
      <c r="E13" s="73" t="s">
        <v>169</v>
      </c>
      <c r="F13" s="86" t="s">
        <v>171</v>
      </c>
      <c r="G13" s="85" t="s">
        <v>172</v>
      </c>
      <c r="H13" s="67" t="s">
        <v>173</v>
      </c>
      <c r="I13" s="73" t="s">
        <v>174</v>
      </c>
      <c r="J13" s="87" t="s">
        <v>175</v>
      </c>
      <c r="K13" s="94"/>
      <c r="L13" s="95" t="s">
        <v>137</v>
      </c>
      <c r="M13" s="51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42">
      <c r="A14" s="84" t="s">
        <v>181</v>
      </c>
      <c r="B14" s="85" t="s">
        <v>5</v>
      </c>
      <c r="C14" s="85" t="s">
        <v>110</v>
      </c>
      <c r="D14" s="85" t="s">
        <v>112</v>
      </c>
      <c r="E14" s="85" t="s">
        <v>182</v>
      </c>
      <c r="F14" s="86" t="s">
        <v>184</v>
      </c>
      <c r="G14" s="85" t="s">
        <v>185</v>
      </c>
      <c r="H14" s="85" t="s">
        <v>186</v>
      </c>
      <c r="I14" s="85" t="s">
        <v>187</v>
      </c>
      <c r="J14" s="96" t="s">
        <v>188</v>
      </c>
      <c r="K14" s="94"/>
      <c r="L14" s="91" t="s">
        <v>137</v>
      </c>
      <c r="M14" s="51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56">
      <c r="A15" s="84" t="s">
        <v>189</v>
      </c>
      <c r="B15" s="85" t="s">
        <v>5</v>
      </c>
      <c r="C15" s="85" t="s">
        <v>110</v>
      </c>
      <c r="D15" s="85" t="s">
        <v>112</v>
      </c>
      <c r="E15" s="85" t="s">
        <v>190</v>
      </c>
      <c r="F15" s="86" t="s">
        <v>191</v>
      </c>
      <c r="G15" s="97">
        <v>46337</v>
      </c>
      <c r="H15" s="85" t="s">
        <v>192</v>
      </c>
      <c r="I15" s="85" t="s">
        <v>194</v>
      </c>
      <c r="J15" s="96" t="s">
        <v>195</v>
      </c>
      <c r="K15" s="94"/>
      <c r="L15" s="89" t="s">
        <v>126</v>
      </c>
      <c r="M15" s="51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70">
      <c r="A16" s="84" t="s">
        <v>199</v>
      </c>
      <c r="B16" s="84" t="s">
        <v>5</v>
      </c>
      <c r="C16" s="84" t="s">
        <v>110</v>
      </c>
      <c r="D16" s="84" t="s">
        <v>112</v>
      </c>
      <c r="E16" s="92" t="s">
        <v>200</v>
      </c>
      <c r="F16" s="86" t="s">
        <v>202</v>
      </c>
      <c r="G16" s="85">
        <v>123456</v>
      </c>
      <c r="H16" s="85" t="s">
        <v>203</v>
      </c>
      <c r="I16" s="85" t="s">
        <v>204</v>
      </c>
      <c r="J16" s="98" t="s">
        <v>206</v>
      </c>
      <c r="K16" s="93"/>
      <c r="L16" s="91" t="s">
        <v>137</v>
      </c>
      <c r="M16" s="50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56">
      <c r="A17" s="84" t="s">
        <v>210</v>
      </c>
      <c r="B17" s="84" t="s">
        <v>5</v>
      </c>
      <c r="C17" s="84" t="s">
        <v>110</v>
      </c>
      <c r="D17" s="84" t="s">
        <v>112</v>
      </c>
      <c r="E17" s="85" t="s">
        <v>211</v>
      </c>
      <c r="F17" s="86" t="s">
        <v>212</v>
      </c>
      <c r="G17" s="85">
        <v>123456</v>
      </c>
      <c r="H17" s="85" t="s">
        <v>213</v>
      </c>
      <c r="I17" s="85" t="s">
        <v>214</v>
      </c>
      <c r="J17" s="99" t="s">
        <v>206</v>
      </c>
      <c r="K17" s="94"/>
      <c r="L17" s="91" t="s">
        <v>137</v>
      </c>
      <c r="M17" s="51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56">
      <c r="A18" s="84" t="s">
        <v>219</v>
      </c>
      <c r="B18" s="84" t="s">
        <v>5</v>
      </c>
      <c r="C18" s="84" t="s">
        <v>110</v>
      </c>
      <c r="D18" s="84" t="s">
        <v>112</v>
      </c>
      <c r="E18" s="85" t="s">
        <v>220</v>
      </c>
      <c r="F18" s="86" t="s">
        <v>221</v>
      </c>
      <c r="G18" s="100" t="s">
        <v>222</v>
      </c>
      <c r="H18" s="85" t="s">
        <v>223</v>
      </c>
      <c r="I18" s="85" t="s">
        <v>224</v>
      </c>
      <c r="J18" s="99" t="s">
        <v>206</v>
      </c>
      <c r="K18" s="94"/>
      <c r="L18" s="91" t="s">
        <v>137</v>
      </c>
      <c r="M18" s="51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42">
      <c r="A19" s="84" t="s">
        <v>227</v>
      </c>
      <c r="B19" s="84" t="s">
        <v>5</v>
      </c>
      <c r="C19" s="84" t="s">
        <v>110</v>
      </c>
      <c r="D19" s="84" t="s">
        <v>112</v>
      </c>
      <c r="E19" s="72" t="s">
        <v>229</v>
      </c>
      <c r="F19" s="86" t="s">
        <v>231</v>
      </c>
      <c r="G19" s="85" t="s">
        <v>232</v>
      </c>
      <c r="H19" s="85" t="s">
        <v>233</v>
      </c>
      <c r="I19" s="85" t="s">
        <v>234</v>
      </c>
      <c r="J19" s="101" t="s">
        <v>236</v>
      </c>
      <c r="K19" s="94"/>
      <c r="L19" s="91" t="s">
        <v>137</v>
      </c>
      <c r="M19" s="51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56">
      <c r="A20" s="84" t="s">
        <v>237</v>
      </c>
      <c r="B20" s="84" t="s">
        <v>5</v>
      </c>
      <c r="C20" s="84" t="s">
        <v>110</v>
      </c>
      <c r="D20" s="84" t="s">
        <v>112</v>
      </c>
      <c r="E20" s="85" t="s">
        <v>238</v>
      </c>
      <c r="F20" s="86" t="s">
        <v>240</v>
      </c>
      <c r="G20" s="100" t="s">
        <v>241</v>
      </c>
      <c r="H20" s="85" t="s">
        <v>243</v>
      </c>
      <c r="I20" s="85" t="s">
        <v>244</v>
      </c>
      <c r="J20" s="101" t="s">
        <v>245</v>
      </c>
      <c r="K20" s="94"/>
      <c r="L20" s="91" t="s">
        <v>137</v>
      </c>
      <c r="M20" s="51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56">
      <c r="A21" s="84" t="s">
        <v>248</v>
      </c>
      <c r="B21" s="84" t="s">
        <v>5</v>
      </c>
      <c r="C21" s="84" t="s">
        <v>110</v>
      </c>
      <c r="D21" s="84" t="s">
        <v>112</v>
      </c>
      <c r="E21" s="85" t="s">
        <v>249</v>
      </c>
      <c r="F21" s="86" t="s">
        <v>250</v>
      </c>
      <c r="G21" s="85" t="s">
        <v>251</v>
      </c>
      <c r="H21" s="85" t="s">
        <v>252</v>
      </c>
      <c r="I21" s="85" t="s">
        <v>244</v>
      </c>
      <c r="J21" s="96" t="s">
        <v>245</v>
      </c>
      <c r="K21" s="94"/>
      <c r="L21" s="91" t="s">
        <v>137</v>
      </c>
      <c r="M21" s="51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42">
      <c r="A22" s="84" t="s">
        <v>254</v>
      </c>
      <c r="B22" s="84" t="s">
        <v>5</v>
      </c>
      <c r="C22" s="84" t="s">
        <v>110</v>
      </c>
      <c r="D22" s="84" t="s">
        <v>112</v>
      </c>
      <c r="E22" s="85" t="s">
        <v>255</v>
      </c>
      <c r="F22" s="86" t="s">
        <v>257</v>
      </c>
      <c r="G22" s="100" t="s">
        <v>258</v>
      </c>
      <c r="H22" s="85" t="s">
        <v>259</v>
      </c>
      <c r="I22" s="85" t="s">
        <v>260</v>
      </c>
      <c r="J22" s="101" t="s">
        <v>262</v>
      </c>
      <c r="K22" s="94"/>
      <c r="L22" s="91" t="s">
        <v>137</v>
      </c>
      <c r="M22" s="51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56">
      <c r="A23" s="84" t="s">
        <v>266</v>
      </c>
      <c r="B23" s="84" t="s">
        <v>5</v>
      </c>
      <c r="C23" s="84" t="s">
        <v>110</v>
      </c>
      <c r="D23" s="84" t="s">
        <v>112</v>
      </c>
      <c r="E23" s="85" t="s">
        <v>267</v>
      </c>
      <c r="F23" s="86" t="s">
        <v>257</v>
      </c>
      <c r="G23" s="100" t="s">
        <v>258</v>
      </c>
      <c r="H23" s="85" t="s">
        <v>268</v>
      </c>
      <c r="I23" s="85" t="s">
        <v>269</v>
      </c>
      <c r="J23" s="96" t="s">
        <v>270</v>
      </c>
      <c r="K23" s="94"/>
      <c r="L23" s="91" t="s">
        <v>137</v>
      </c>
      <c r="M23" s="51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56">
      <c r="A24" s="84" t="s">
        <v>273</v>
      </c>
      <c r="B24" s="84" t="s">
        <v>5</v>
      </c>
      <c r="C24" s="84" t="s">
        <v>110</v>
      </c>
      <c r="D24" s="84" t="s">
        <v>112</v>
      </c>
      <c r="E24" s="85" t="s">
        <v>275</v>
      </c>
      <c r="F24" s="86" t="s">
        <v>276</v>
      </c>
      <c r="G24" s="100" t="s">
        <v>258</v>
      </c>
      <c r="H24" s="85" t="s">
        <v>277</v>
      </c>
      <c r="I24" s="85" t="s">
        <v>278</v>
      </c>
      <c r="J24" s="96" t="s">
        <v>279</v>
      </c>
      <c r="K24" s="94"/>
      <c r="L24" s="89" t="s">
        <v>126</v>
      </c>
      <c r="M24" s="51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56">
      <c r="A25" s="84" t="s">
        <v>283</v>
      </c>
      <c r="B25" s="84" t="s">
        <v>5</v>
      </c>
      <c r="C25" s="84" t="s">
        <v>110</v>
      </c>
      <c r="D25" s="84" t="s">
        <v>112</v>
      </c>
      <c r="E25" s="85" t="s">
        <v>285</v>
      </c>
      <c r="F25" s="86" t="s">
        <v>287</v>
      </c>
      <c r="G25" s="100" t="s">
        <v>288</v>
      </c>
      <c r="H25" s="85" t="s">
        <v>289</v>
      </c>
      <c r="I25" s="85" t="s">
        <v>291</v>
      </c>
      <c r="J25" s="96" t="s">
        <v>292</v>
      </c>
      <c r="K25" s="94"/>
      <c r="L25" s="89" t="s">
        <v>126</v>
      </c>
      <c r="M25" s="51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56">
      <c r="A26" s="84" t="s">
        <v>296</v>
      </c>
      <c r="B26" s="84" t="s">
        <v>5</v>
      </c>
      <c r="C26" s="84" t="s">
        <v>110</v>
      </c>
      <c r="D26" s="84" t="s">
        <v>112</v>
      </c>
      <c r="E26" s="85" t="s">
        <v>297</v>
      </c>
      <c r="F26" s="86" t="s">
        <v>298</v>
      </c>
      <c r="G26" s="100" t="s">
        <v>300</v>
      </c>
      <c r="H26" s="85" t="s">
        <v>301</v>
      </c>
      <c r="I26" s="85" t="s">
        <v>302</v>
      </c>
      <c r="J26" s="102"/>
      <c r="K26" s="94"/>
      <c r="L26" s="89" t="s">
        <v>126</v>
      </c>
      <c r="M26" s="51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42">
      <c r="A27" s="84" t="s">
        <v>303</v>
      </c>
      <c r="B27" s="84" t="s">
        <v>5</v>
      </c>
      <c r="C27" s="84" t="s">
        <v>110</v>
      </c>
      <c r="D27" s="84" t="s">
        <v>112</v>
      </c>
      <c r="E27" s="85" t="s">
        <v>304</v>
      </c>
      <c r="F27" s="86" t="s">
        <v>305</v>
      </c>
      <c r="G27" s="100" t="s">
        <v>306</v>
      </c>
      <c r="H27" s="85" t="s">
        <v>307</v>
      </c>
      <c r="I27" s="85" t="s">
        <v>308</v>
      </c>
      <c r="J27" s="102"/>
      <c r="K27" s="94"/>
      <c r="L27" s="91" t="s">
        <v>137</v>
      </c>
      <c r="M27" s="51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42">
      <c r="A28" s="84" t="s">
        <v>309</v>
      </c>
      <c r="B28" s="84" t="s">
        <v>5</v>
      </c>
      <c r="C28" s="84" t="s">
        <v>110</v>
      </c>
      <c r="D28" s="84" t="s">
        <v>112</v>
      </c>
      <c r="E28" s="85" t="s">
        <v>310</v>
      </c>
      <c r="F28" s="86" t="s">
        <v>311</v>
      </c>
      <c r="G28" s="100" t="s">
        <v>313</v>
      </c>
      <c r="H28" s="85" t="s">
        <v>314</v>
      </c>
      <c r="I28" s="85" t="s">
        <v>315</v>
      </c>
      <c r="J28" s="96" t="s">
        <v>317</v>
      </c>
      <c r="K28" s="94"/>
      <c r="L28" s="89" t="s">
        <v>126</v>
      </c>
      <c r="M28" s="51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56">
      <c r="A29" s="84" t="s">
        <v>323</v>
      </c>
      <c r="B29" s="84" t="s">
        <v>5</v>
      </c>
      <c r="C29" s="84" t="s">
        <v>110</v>
      </c>
      <c r="D29" s="84" t="s">
        <v>112</v>
      </c>
      <c r="E29" s="85" t="s">
        <v>324</v>
      </c>
      <c r="F29" s="86" t="s">
        <v>325</v>
      </c>
      <c r="G29" s="100" t="s">
        <v>326</v>
      </c>
      <c r="H29" s="85" t="s">
        <v>327</v>
      </c>
      <c r="I29" s="85" t="s">
        <v>328</v>
      </c>
      <c r="J29" s="96" t="s">
        <v>329</v>
      </c>
      <c r="K29" s="94"/>
      <c r="L29" s="91" t="s">
        <v>137</v>
      </c>
      <c r="M29" s="51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56">
      <c r="A30" s="84" t="s">
        <v>331</v>
      </c>
      <c r="B30" s="84" t="s">
        <v>5</v>
      </c>
      <c r="C30" s="84" t="s">
        <v>110</v>
      </c>
      <c r="D30" s="84" t="s">
        <v>112</v>
      </c>
      <c r="E30" s="85" t="s">
        <v>332</v>
      </c>
      <c r="F30" s="86" t="s">
        <v>333</v>
      </c>
      <c r="G30" s="100" t="s">
        <v>334</v>
      </c>
      <c r="H30" s="85" t="s">
        <v>335</v>
      </c>
      <c r="I30" s="85" t="s">
        <v>336</v>
      </c>
      <c r="J30" s="102"/>
      <c r="K30" s="94"/>
      <c r="L30" s="91" t="s">
        <v>137</v>
      </c>
      <c r="M30" s="51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42">
      <c r="A31" s="84" t="s">
        <v>338</v>
      </c>
      <c r="B31" s="84" t="s">
        <v>5</v>
      </c>
      <c r="C31" s="84" t="s">
        <v>110</v>
      </c>
      <c r="D31" s="84" t="s">
        <v>112</v>
      </c>
      <c r="E31" s="85" t="s">
        <v>339</v>
      </c>
      <c r="F31" s="86" t="s">
        <v>340</v>
      </c>
      <c r="G31" s="100" t="s">
        <v>341</v>
      </c>
      <c r="H31" s="85" t="s">
        <v>342</v>
      </c>
      <c r="I31" s="85" t="s">
        <v>343</v>
      </c>
      <c r="J31" s="96" t="s">
        <v>344</v>
      </c>
      <c r="K31" s="94"/>
      <c r="L31" s="89" t="s">
        <v>126</v>
      </c>
      <c r="M31" s="51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70">
      <c r="A32" s="84" t="s">
        <v>350</v>
      </c>
      <c r="B32" s="84" t="s">
        <v>8</v>
      </c>
      <c r="C32" s="84" t="s">
        <v>110</v>
      </c>
      <c r="D32" s="84" t="s">
        <v>351</v>
      </c>
      <c r="E32" s="85" t="s">
        <v>352</v>
      </c>
      <c r="F32" s="86" t="s">
        <v>353</v>
      </c>
      <c r="G32" s="100" t="s">
        <v>354</v>
      </c>
      <c r="H32" s="85" t="s">
        <v>355</v>
      </c>
      <c r="I32" s="85" t="s">
        <v>356</v>
      </c>
      <c r="J32" s="96" t="s">
        <v>357</v>
      </c>
      <c r="K32" s="94"/>
      <c r="L32" s="91" t="s">
        <v>137</v>
      </c>
      <c r="M32" s="51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42">
      <c r="A33" s="84" t="s">
        <v>360</v>
      </c>
      <c r="B33" s="84" t="s">
        <v>8</v>
      </c>
      <c r="C33" s="84" t="s">
        <v>361</v>
      </c>
      <c r="D33" s="84" t="s">
        <v>351</v>
      </c>
      <c r="E33" s="85" t="s">
        <v>363</v>
      </c>
      <c r="F33" s="86" t="s">
        <v>353</v>
      </c>
      <c r="G33" s="100" t="s">
        <v>258</v>
      </c>
      <c r="H33" s="85" t="s">
        <v>364</v>
      </c>
      <c r="I33" s="85" t="s">
        <v>365</v>
      </c>
      <c r="J33" s="101" t="s">
        <v>262</v>
      </c>
      <c r="K33" s="94"/>
      <c r="L33" s="91" t="s">
        <v>137</v>
      </c>
      <c r="M33" s="51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28">
      <c r="A34" s="84" t="s">
        <v>366</v>
      </c>
      <c r="B34" s="84" t="s">
        <v>367</v>
      </c>
      <c r="C34" s="84" t="s">
        <v>368</v>
      </c>
      <c r="D34" s="84" t="s">
        <v>370</v>
      </c>
      <c r="E34" s="85" t="s">
        <v>371</v>
      </c>
      <c r="F34" s="86" t="s">
        <v>372</v>
      </c>
      <c r="G34" s="100" t="s">
        <v>374</v>
      </c>
      <c r="H34" s="85" t="s">
        <v>375</v>
      </c>
      <c r="I34" s="85" t="s">
        <v>376</v>
      </c>
      <c r="J34" s="103"/>
      <c r="K34" s="94"/>
      <c r="L34" s="89" t="s">
        <v>126</v>
      </c>
      <c r="M34" s="51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56">
      <c r="A35" s="84" t="s">
        <v>380</v>
      </c>
      <c r="B35" s="84" t="s">
        <v>367</v>
      </c>
      <c r="C35" s="84" t="s">
        <v>361</v>
      </c>
      <c r="D35" s="84" t="s">
        <v>381</v>
      </c>
      <c r="E35" s="85" t="s">
        <v>382</v>
      </c>
      <c r="F35" s="86" t="s">
        <v>383</v>
      </c>
      <c r="G35" s="100" t="s">
        <v>384</v>
      </c>
      <c r="H35" s="85" t="s">
        <v>386</v>
      </c>
      <c r="I35" s="85" t="s">
        <v>387</v>
      </c>
      <c r="J35" s="101" t="s">
        <v>388</v>
      </c>
      <c r="K35" s="94"/>
      <c r="L35" s="89" t="s">
        <v>126</v>
      </c>
      <c r="M35" s="51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42">
      <c r="A36" s="84" t="s">
        <v>397</v>
      </c>
      <c r="B36" s="84" t="s">
        <v>367</v>
      </c>
      <c r="C36" s="84" t="s">
        <v>368</v>
      </c>
      <c r="D36" s="84" t="s">
        <v>381</v>
      </c>
      <c r="E36" s="85" t="s">
        <v>398</v>
      </c>
      <c r="F36" s="86" t="s">
        <v>399</v>
      </c>
      <c r="G36" s="100" t="s">
        <v>400</v>
      </c>
      <c r="H36" s="85" t="s">
        <v>401</v>
      </c>
      <c r="I36" s="85" t="s">
        <v>403</v>
      </c>
      <c r="J36" s="103"/>
      <c r="K36" s="94"/>
      <c r="L36" s="89" t="s">
        <v>126</v>
      </c>
      <c r="M36" s="51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42">
      <c r="A37" s="84" t="s">
        <v>407</v>
      </c>
      <c r="B37" s="72" t="s">
        <v>367</v>
      </c>
      <c r="C37" s="72" t="s">
        <v>410</v>
      </c>
      <c r="D37" s="73" t="s">
        <v>14</v>
      </c>
      <c r="E37" s="67" t="s">
        <v>411</v>
      </c>
      <c r="F37" s="104" t="s">
        <v>412</v>
      </c>
      <c r="G37" s="72" t="s">
        <v>417</v>
      </c>
      <c r="H37" s="67" t="s">
        <v>418</v>
      </c>
      <c r="I37" s="73" t="s">
        <v>420</v>
      </c>
      <c r="J37" s="59"/>
      <c r="K37" s="59"/>
      <c r="L37" s="89" t="s">
        <v>126</v>
      </c>
      <c r="M37" s="47"/>
    </row>
    <row r="38" spans="1:26" ht="42">
      <c r="A38" s="84" t="s">
        <v>423</v>
      </c>
      <c r="B38" s="72" t="s">
        <v>367</v>
      </c>
      <c r="C38" s="72" t="s">
        <v>368</v>
      </c>
      <c r="D38" s="73" t="s">
        <v>424</v>
      </c>
      <c r="E38" s="67" t="s">
        <v>425</v>
      </c>
      <c r="F38" s="104" t="s">
        <v>427</v>
      </c>
      <c r="G38" s="72" t="s">
        <v>429</v>
      </c>
      <c r="H38" s="67" t="s">
        <v>431</v>
      </c>
      <c r="I38" s="73" t="s">
        <v>432</v>
      </c>
      <c r="J38" s="59"/>
      <c r="K38" s="59"/>
      <c r="L38" s="89" t="s">
        <v>126</v>
      </c>
      <c r="M38" s="47"/>
    </row>
    <row r="39" spans="1:26" ht="42">
      <c r="A39" s="84" t="s">
        <v>437</v>
      </c>
      <c r="B39" s="72" t="s">
        <v>367</v>
      </c>
      <c r="C39" s="72" t="s">
        <v>439</v>
      </c>
      <c r="D39" s="73" t="s">
        <v>440</v>
      </c>
      <c r="E39" s="67" t="s">
        <v>441</v>
      </c>
      <c r="F39" s="104" t="s">
        <v>442</v>
      </c>
      <c r="G39" s="72" t="s">
        <v>430</v>
      </c>
      <c r="H39" s="67" t="s">
        <v>444</v>
      </c>
      <c r="I39" s="73" t="s">
        <v>445</v>
      </c>
      <c r="J39" s="59"/>
      <c r="K39" s="59"/>
      <c r="L39" s="89" t="s">
        <v>126</v>
      </c>
      <c r="M39" s="47"/>
    </row>
    <row r="40" spans="1:26" ht="42">
      <c r="A40" s="84" t="s">
        <v>448</v>
      </c>
      <c r="B40" s="72" t="s">
        <v>367</v>
      </c>
      <c r="C40" s="72" t="s">
        <v>368</v>
      </c>
      <c r="D40" s="73" t="s">
        <v>450</v>
      </c>
      <c r="E40" s="67" t="s">
        <v>451</v>
      </c>
      <c r="F40" s="104" t="s">
        <v>453</v>
      </c>
      <c r="G40" s="72" t="s">
        <v>430</v>
      </c>
      <c r="H40" s="67" t="s">
        <v>454</v>
      </c>
      <c r="I40" s="73" t="s">
        <v>455</v>
      </c>
      <c r="J40" s="59"/>
      <c r="K40" s="59"/>
      <c r="L40" s="89" t="s">
        <v>126</v>
      </c>
      <c r="M40" s="47"/>
    </row>
    <row r="41" spans="1:26" ht="42">
      <c r="A41" s="84" t="s">
        <v>457</v>
      </c>
      <c r="B41" s="72" t="s">
        <v>367</v>
      </c>
      <c r="C41" s="72" t="s">
        <v>368</v>
      </c>
      <c r="D41" s="73" t="s">
        <v>460</v>
      </c>
      <c r="E41" s="67" t="s">
        <v>461</v>
      </c>
      <c r="F41" s="104" t="s">
        <v>462</v>
      </c>
      <c r="G41" s="72" t="s">
        <v>430</v>
      </c>
      <c r="H41" s="67" t="s">
        <v>464</v>
      </c>
      <c r="I41" s="73" t="s">
        <v>465</v>
      </c>
      <c r="J41" s="59"/>
      <c r="K41" s="59"/>
      <c r="L41" s="89" t="s">
        <v>126</v>
      </c>
      <c r="M41" s="47"/>
    </row>
    <row r="42" spans="1:26" ht="42">
      <c r="A42" s="84" t="s">
        <v>467</v>
      </c>
      <c r="B42" s="72" t="s">
        <v>367</v>
      </c>
      <c r="C42" s="72" t="s">
        <v>439</v>
      </c>
      <c r="D42" s="73" t="s">
        <v>469</v>
      </c>
      <c r="E42" s="67" t="s">
        <v>470</v>
      </c>
      <c r="F42" s="104" t="s">
        <v>471</v>
      </c>
      <c r="G42" s="72" t="s">
        <v>430</v>
      </c>
      <c r="H42" s="67" t="s">
        <v>472</v>
      </c>
      <c r="I42" s="73" t="s">
        <v>473</v>
      </c>
      <c r="J42" s="59"/>
      <c r="K42" s="59"/>
      <c r="L42" s="89" t="s">
        <v>126</v>
      </c>
      <c r="M42" s="47"/>
    </row>
    <row r="43" spans="1:26" ht="42">
      <c r="A43" s="84" t="s">
        <v>475</v>
      </c>
      <c r="B43" s="72" t="s">
        <v>367</v>
      </c>
      <c r="C43" s="72" t="s">
        <v>368</v>
      </c>
      <c r="D43" s="73" t="s">
        <v>476</v>
      </c>
      <c r="E43" s="67" t="s">
        <v>477</v>
      </c>
      <c r="F43" s="104" t="s">
        <v>478</v>
      </c>
      <c r="G43" s="72" t="s">
        <v>479</v>
      </c>
      <c r="H43" s="67" t="s">
        <v>480</v>
      </c>
      <c r="I43" s="73" t="s">
        <v>481</v>
      </c>
      <c r="J43" s="59"/>
      <c r="K43" s="59"/>
      <c r="L43" s="89" t="s">
        <v>126</v>
      </c>
      <c r="M43" s="47"/>
    </row>
    <row r="44" spans="1:26" ht="28">
      <c r="A44" s="84" t="s">
        <v>482</v>
      </c>
      <c r="B44" s="72" t="s">
        <v>367</v>
      </c>
      <c r="C44" s="72" t="s">
        <v>368</v>
      </c>
      <c r="D44" s="73" t="s">
        <v>483</v>
      </c>
      <c r="E44" s="67" t="s">
        <v>484</v>
      </c>
      <c r="F44" s="104" t="s">
        <v>485</v>
      </c>
      <c r="G44" s="72" t="s">
        <v>486</v>
      </c>
      <c r="H44" s="67" t="s">
        <v>487</v>
      </c>
      <c r="I44" s="73" t="s">
        <v>488</v>
      </c>
      <c r="J44" s="59"/>
      <c r="K44" s="59"/>
      <c r="L44" s="89" t="s">
        <v>126</v>
      </c>
      <c r="M44" s="47"/>
    </row>
    <row r="45" spans="1:26" ht="42">
      <c r="A45" s="84" t="s">
        <v>489</v>
      </c>
      <c r="B45" s="72" t="s">
        <v>367</v>
      </c>
      <c r="C45" s="72" t="s">
        <v>368</v>
      </c>
      <c r="D45" s="73" t="s">
        <v>490</v>
      </c>
      <c r="E45" s="67" t="s">
        <v>491</v>
      </c>
      <c r="F45" s="104" t="s">
        <v>492</v>
      </c>
      <c r="G45" s="72" t="s">
        <v>493</v>
      </c>
      <c r="H45" s="67" t="s">
        <v>494</v>
      </c>
      <c r="I45" s="73" t="s">
        <v>496</v>
      </c>
      <c r="J45" s="59"/>
      <c r="K45" s="59"/>
      <c r="L45" s="89" t="s">
        <v>126</v>
      </c>
      <c r="M45" s="47"/>
    </row>
    <row r="46" spans="1:26" ht="42">
      <c r="A46" s="84" t="s">
        <v>498</v>
      </c>
      <c r="B46" s="72" t="s">
        <v>367</v>
      </c>
      <c r="C46" s="72" t="s">
        <v>368</v>
      </c>
      <c r="D46" s="73" t="s">
        <v>23</v>
      </c>
      <c r="E46" s="67" t="s">
        <v>499</v>
      </c>
      <c r="F46" s="104" t="s">
        <v>500</v>
      </c>
      <c r="G46" s="72" t="s">
        <v>501</v>
      </c>
      <c r="H46" s="67" t="s">
        <v>502</v>
      </c>
      <c r="I46" s="73" t="s">
        <v>503</v>
      </c>
      <c r="J46" s="59"/>
      <c r="K46" s="59"/>
      <c r="L46" s="89" t="s">
        <v>126</v>
      </c>
      <c r="M46" s="47"/>
    </row>
    <row r="47" spans="1:26" ht="42">
      <c r="A47" s="84" t="s">
        <v>504</v>
      </c>
      <c r="B47" s="72" t="s">
        <v>367</v>
      </c>
      <c r="C47" s="72" t="s">
        <v>368</v>
      </c>
      <c r="D47" s="73" t="s">
        <v>505</v>
      </c>
      <c r="E47" s="67" t="s">
        <v>506</v>
      </c>
      <c r="F47" s="104" t="s">
        <v>507</v>
      </c>
      <c r="G47" s="72" t="s">
        <v>508</v>
      </c>
      <c r="H47" s="67" t="s">
        <v>509</v>
      </c>
      <c r="I47" s="73" t="s">
        <v>510</v>
      </c>
      <c r="J47" s="59"/>
      <c r="K47" s="59"/>
      <c r="L47" s="89" t="s">
        <v>126</v>
      </c>
      <c r="M47" s="47"/>
    </row>
    <row r="48" spans="1:26" ht="42">
      <c r="A48" s="84" t="s">
        <v>511</v>
      </c>
      <c r="B48" s="72" t="s">
        <v>367</v>
      </c>
      <c r="C48" s="72" t="s">
        <v>368</v>
      </c>
      <c r="D48" s="73" t="s">
        <v>513</v>
      </c>
      <c r="E48" s="67" t="s">
        <v>514</v>
      </c>
      <c r="F48" s="104" t="s">
        <v>515</v>
      </c>
      <c r="G48" s="72" t="s">
        <v>516</v>
      </c>
      <c r="H48" s="67" t="s">
        <v>517</v>
      </c>
      <c r="I48" s="73" t="s">
        <v>518</v>
      </c>
      <c r="J48" s="59"/>
      <c r="K48" s="59"/>
      <c r="L48" s="89" t="s">
        <v>126</v>
      </c>
      <c r="M48" s="47"/>
    </row>
    <row r="49" spans="1:26" ht="42">
      <c r="A49" s="84" t="s">
        <v>520</v>
      </c>
      <c r="B49" s="72" t="s">
        <v>367</v>
      </c>
      <c r="C49" s="72" t="s">
        <v>368</v>
      </c>
      <c r="D49" s="73" t="s">
        <v>521</v>
      </c>
      <c r="E49" s="67" t="s">
        <v>522</v>
      </c>
      <c r="F49" s="104" t="s">
        <v>523</v>
      </c>
      <c r="G49" s="72" t="s">
        <v>524</v>
      </c>
      <c r="H49" s="67" t="s">
        <v>525</v>
      </c>
      <c r="I49" s="73" t="s">
        <v>526</v>
      </c>
      <c r="J49" s="59"/>
      <c r="K49" s="59"/>
      <c r="L49" s="89" t="s">
        <v>126</v>
      </c>
      <c r="M49" s="47"/>
    </row>
    <row r="50" spans="1:26" ht="42">
      <c r="A50" s="84" t="s">
        <v>528</v>
      </c>
      <c r="B50" s="72" t="s">
        <v>367</v>
      </c>
      <c r="C50" s="72" t="s">
        <v>53</v>
      </c>
      <c r="D50" s="73" t="s">
        <v>529</v>
      </c>
      <c r="E50" s="67" t="s">
        <v>531</v>
      </c>
      <c r="F50" s="104" t="s">
        <v>532</v>
      </c>
      <c r="G50" s="72" t="s">
        <v>533</v>
      </c>
      <c r="H50" s="67" t="s">
        <v>535</v>
      </c>
      <c r="I50" s="73" t="s">
        <v>536</v>
      </c>
      <c r="J50" s="59"/>
      <c r="K50" s="59"/>
      <c r="L50" s="89" t="s">
        <v>126</v>
      </c>
      <c r="M50" s="47"/>
    </row>
    <row r="51" spans="1:26" ht="42">
      <c r="A51" s="84" t="s">
        <v>538</v>
      </c>
      <c r="B51" s="72" t="s">
        <v>367</v>
      </c>
      <c r="C51" s="72" t="s">
        <v>53</v>
      </c>
      <c r="D51" s="73" t="s">
        <v>540</v>
      </c>
      <c r="E51" s="67" t="s">
        <v>541</v>
      </c>
      <c r="F51" s="104" t="s">
        <v>542</v>
      </c>
      <c r="G51" s="72" t="s">
        <v>543</v>
      </c>
      <c r="H51" s="67" t="s">
        <v>544</v>
      </c>
      <c r="I51" s="73" t="s">
        <v>545</v>
      </c>
      <c r="J51" s="59"/>
      <c r="K51" s="59"/>
      <c r="L51" s="89" t="s">
        <v>126</v>
      </c>
      <c r="M51" s="47"/>
    </row>
    <row r="52" spans="1:26" ht="42">
      <c r="A52" s="84" t="s">
        <v>546</v>
      </c>
      <c r="B52" s="72" t="s">
        <v>367</v>
      </c>
      <c r="C52" s="72" t="s">
        <v>53</v>
      </c>
      <c r="D52" s="73" t="s">
        <v>547</v>
      </c>
      <c r="E52" s="67" t="s">
        <v>548</v>
      </c>
      <c r="F52" s="104" t="s">
        <v>549</v>
      </c>
      <c r="G52" s="72" t="s">
        <v>550</v>
      </c>
      <c r="H52" s="67" t="s">
        <v>551</v>
      </c>
      <c r="I52" s="73" t="s">
        <v>552</v>
      </c>
      <c r="J52" s="59"/>
      <c r="K52" s="59"/>
      <c r="L52" s="89" t="s">
        <v>126</v>
      </c>
      <c r="M52" s="47"/>
    </row>
    <row r="53" spans="1:26" ht="42">
      <c r="A53" s="84" t="s">
        <v>553</v>
      </c>
      <c r="B53" s="72" t="s">
        <v>367</v>
      </c>
      <c r="C53" s="72" t="s">
        <v>439</v>
      </c>
      <c r="D53" s="73" t="s">
        <v>554</v>
      </c>
      <c r="E53" s="67" t="s">
        <v>555</v>
      </c>
      <c r="F53" s="104" t="s">
        <v>556</v>
      </c>
      <c r="G53" s="72" t="s">
        <v>430</v>
      </c>
      <c r="H53" s="67" t="s">
        <v>557</v>
      </c>
      <c r="I53" s="73" t="s">
        <v>558</v>
      </c>
      <c r="J53" s="59"/>
      <c r="K53" s="59"/>
      <c r="L53" s="89" t="s">
        <v>126</v>
      </c>
      <c r="M53" s="47"/>
    </row>
    <row r="54" spans="1:26" ht="42">
      <c r="A54" s="84" t="s">
        <v>561</v>
      </c>
      <c r="B54" s="72" t="s">
        <v>367</v>
      </c>
      <c r="C54" s="72" t="s">
        <v>562</v>
      </c>
      <c r="D54" s="73" t="s">
        <v>563</v>
      </c>
      <c r="E54" s="67" t="s">
        <v>564</v>
      </c>
      <c r="F54" s="104" t="s">
        <v>565</v>
      </c>
      <c r="G54" s="72" t="s">
        <v>566</v>
      </c>
      <c r="H54" s="67" t="s">
        <v>567</v>
      </c>
      <c r="I54" s="73" t="s">
        <v>568</v>
      </c>
      <c r="J54" s="59"/>
      <c r="K54" s="59"/>
      <c r="L54" s="89" t="s">
        <v>126</v>
      </c>
      <c r="M54" s="47"/>
    </row>
    <row r="55" spans="1:26" ht="56">
      <c r="A55" s="84" t="s">
        <v>569</v>
      </c>
      <c r="B55" s="72" t="s">
        <v>367</v>
      </c>
      <c r="C55" s="72" t="s">
        <v>368</v>
      </c>
      <c r="D55" s="73" t="s">
        <v>570</v>
      </c>
      <c r="E55" s="67" t="s">
        <v>571</v>
      </c>
      <c r="F55" s="104" t="s">
        <v>572</v>
      </c>
      <c r="G55" s="72" t="s">
        <v>573</v>
      </c>
      <c r="H55" s="67" t="s">
        <v>574</v>
      </c>
      <c r="I55" s="73" t="s">
        <v>575</v>
      </c>
      <c r="J55" s="59"/>
      <c r="K55" s="59"/>
      <c r="L55" s="89" t="s">
        <v>126</v>
      </c>
      <c r="M55" s="47"/>
    </row>
    <row r="56" spans="1:26" ht="42">
      <c r="A56" s="84" t="s">
        <v>577</v>
      </c>
      <c r="B56" s="72" t="s">
        <v>367</v>
      </c>
      <c r="C56" s="72" t="s">
        <v>368</v>
      </c>
      <c r="D56" s="73" t="s">
        <v>578</v>
      </c>
      <c r="E56" s="67" t="s">
        <v>579</v>
      </c>
      <c r="F56" s="104" t="s">
        <v>580</v>
      </c>
      <c r="G56" s="72" t="s">
        <v>581</v>
      </c>
      <c r="H56" s="67" t="s">
        <v>582</v>
      </c>
      <c r="I56" s="73" t="s">
        <v>583</v>
      </c>
      <c r="J56" s="59"/>
      <c r="K56" s="59"/>
      <c r="L56" s="89" t="s">
        <v>126</v>
      </c>
      <c r="M56" s="47"/>
    </row>
    <row r="57" spans="1:26" ht="42">
      <c r="A57" s="84" t="s">
        <v>585</v>
      </c>
      <c r="B57" s="73" t="s">
        <v>14</v>
      </c>
      <c r="C57" s="73" t="s">
        <v>410</v>
      </c>
      <c r="D57" s="73" t="s">
        <v>586</v>
      </c>
      <c r="E57" s="73" t="s">
        <v>587</v>
      </c>
      <c r="F57" s="104" t="s">
        <v>588</v>
      </c>
      <c r="G57" s="73" t="s">
        <v>589</v>
      </c>
      <c r="H57" s="73" t="s">
        <v>590</v>
      </c>
      <c r="I57" s="73" t="s">
        <v>591</v>
      </c>
      <c r="J57" s="73"/>
      <c r="K57" s="73"/>
      <c r="L57" s="89" t="s">
        <v>126</v>
      </c>
      <c r="M57" s="52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42">
      <c r="A58" s="84" t="s">
        <v>593</v>
      </c>
      <c r="B58" s="73" t="s">
        <v>14</v>
      </c>
      <c r="C58" s="73" t="s">
        <v>368</v>
      </c>
      <c r="D58" s="73" t="s">
        <v>595</v>
      </c>
      <c r="E58" s="73" t="s">
        <v>596</v>
      </c>
      <c r="F58" s="104" t="s">
        <v>597</v>
      </c>
      <c r="G58" s="73" t="s">
        <v>598</v>
      </c>
      <c r="H58" s="73" t="s">
        <v>600</v>
      </c>
      <c r="I58" s="73" t="s">
        <v>601</v>
      </c>
      <c r="J58" s="73"/>
      <c r="K58" s="73"/>
      <c r="L58" s="89" t="s">
        <v>126</v>
      </c>
      <c r="M58" s="52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42">
      <c r="A59" s="84" t="s">
        <v>603</v>
      </c>
      <c r="B59" s="73" t="s">
        <v>14</v>
      </c>
      <c r="C59" s="73" t="s">
        <v>439</v>
      </c>
      <c r="D59" s="73" t="s">
        <v>595</v>
      </c>
      <c r="E59" s="73" t="s">
        <v>604</v>
      </c>
      <c r="F59" s="104" t="s">
        <v>606</v>
      </c>
      <c r="G59" s="73" t="s">
        <v>598</v>
      </c>
      <c r="H59" s="73" t="s">
        <v>607</v>
      </c>
      <c r="I59" s="73" t="s">
        <v>608</v>
      </c>
      <c r="J59" s="73"/>
      <c r="K59" s="73"/>
      <c r="L59" s="89" t="s">
        <v>126</v>
      </c>
      <c r="M59" s="52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42">
      <c r="A60" s="84" t="s">
        <v>611</v>
      </c>
      <c r="B60" s="73" t="s">
        <v>14</v>
      </c>
      <c r="C60" s="73" t="s">
        <v>439</v>
      </c>
      <c r="D60" s="73" t="s">
        <v>612</v>
      </c>
      <c r="E60" s="73" t="s">
        <v>613</v>
      </c>
      <c r="F60" s="104" t="s">
        <v>614</v>
      </c>
      <c r="G60" s="73" t="s">
        <v>598</v>
      </c>
      <c r="H60" s="73" t="s">
        <v>615</v>
      </c>
      <c r="I60" s="73" t="s">
        <v>616</v>
      </c>
      <c r="J60" s="73"/>
      <c r="K60" s="73"/>
      <c r="L60" s="89" t="s">
        <v>126</v>
      </c>
      <c r="M60" s="52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42">
      <c r="A61" s="84" t="s">
        <v>617</v>
      </c>
      <c r="B61" s="73" t="s">
        <v>14</v>
      </c>
      <c r="C61" s="73" t="s">
        <v>439</v>
      </c>
      <c r="D61" s="73" t="s">
        <v>469</v>
      </c>
      <c r="E61" s="73" t="s">
        <v>618</v>
      </c>
      <c r="F61" s="104" t="s">
        <v>619</v>
      </c>
      <c r="G61" s="73" t="s">
        <v>598</v>
      </c>
      <c r="H61" s="73" t="s">
        <v>620</v>
      </c>
      <c r="I61" s="73" t="s">
        <v>621</v>
      </c>
      <c r="J61" s="105" t="s">
        <v>622</v>
      </c>
      <c r="K61" s="73"/>
      <c r="L61" s="91" t="s">
        <v>137</v>
      </c>
      <c r="M61" s="52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42">
      <c r="A62" s="84" t="s">
        <v>625</v>
      </c>
      <c r="B62" s="73" t="s">
        <v>14</v>
      </c>
      <c r="C62" s="73" t="s">
        <v>368</v>
      </c>
      <c r="D62" s="73" t="s">
        <v>483</v>
      </c>
      <c r="E62" s="73" t="s">
        <v>627</v>
      </c>
      <c r="F62" s="104" t="s">
        <v>628</v>
      </c>
      <c r="G62" s="73" t="s">
        <v>630</v>
      </c>
      <c r="H62" s="73" t="s">
        <v>631</v>
      </c>
      <c r="I62" s="73" t="s">
        <v>632</v>
      </c>
      <c r="J62" s="73"/>
      <c r="K62" s="73"/>
      <c r="L62" s="89" t="s">
        <v>126</v>
      </c>
      <c r="M62" s="52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42">
      <c r="A63" s="84" t="s">
        <v>634</v>
      </c>
      <c r="B63" s="73" t="s">
        <v>14</v>
      </c>
      <c r="C63" s="73" t="s">
        <v>368</v>
      </c>
      <c r="D63" s="73" t="s">
        <v>636</v>
      </c>
      <c r="E63" s="73" t="s">
        <v>637</v>
      </c>
      <c r="F63" s="104" t="s">
        <v>638</v>
      </c>
      <c r="G63" s="73" t="s">
        <v>598</v>
      </c>
      <c r="H63" s="73" t="s">
        <v>639</v>
      </c>
      <c r="I63" s="73" t="s">
        <v>640</v>
      </c>
      <c r="J63" s="105" t="s">
        <v>622</v>
      </c>
      <c r="K63" s="73"/>
      <c r="L63" s="91" t="s">
        <v>137</v>
      </c>
      <c r="M63" s="52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42">
      <c r="A64" s="84" t="s">
        <v>642</v>
      </c>
      <c r="B64" s="73" t="s">
        <v>14</v>
      </c>
      <c r="C64" s="73" t="s">
        <v>410</v>
      </c>
      <c r="D64" s="73" t="s">
        <v>643</v>
      </c>
      <c r="E64" s="73" t="s">
        <v>644</v>
      </c>
      <c r="F64" s="104" t="s">
        <v>645</v>
      </c>
      <c r="G64" s="73" t="s">
        <v>646</v>
      </c>
      <c r="H64" s="73" t="s">
        <v>647</v>
      </c>
      <c r="I64" s="73" t="s">
        <v>648</v>
      </c>
      <c r="J64" s="73"/>
      <c r="K64" s="73"/>
      <c r="L64" s="89" t="s">
        <v>126</v>
      </c>
      <c r="M64" s="52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42">
      <c r="A65" s="84" t="s">
        <v>649</v>
      </c>
      <c r="B65" s="73" t="s">
        <v>14</v>
      </c>
      <c r="C65" s="73" t="s">
        <v>368</v>
      </c>
      <c r="D65" s="73" t="s">
        <v>650</v>
      </c>
      <c r="E65" s="73" t="s">
        <v>651</v>
      </c>
      <c r="F65" s="104" t="s">
        <v>652</v>
      </c>
      <c r="G65" s="73" t="s">
        <v>653</v>
      </c>
      <c r="H65" s="73" t="s">
        <v>654</v>
      </c>
      <c r="I65" s="73" t="s">
        <v>655</v>
      </c>
      <c r="J65" s="73"/>
      <c r="K65" s="73"/>
      <c r="L65" s="89" t="s">
        <v>126</v>
      </c>
      <c r="M65" s="52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42">
      <c r="A66" s="84" t="s">
        <v>656</v>
      </c>
      <c r="B66" s="73" t="s">
        <v>14</v>
      </c>
      <c r="C66" s="73" t="s">
        <v>410</v>
      </c>
      <c r="D66" s="73" t="s">
        <v>657</v>
      </c>
      <c r="E66" s="73" t="s">
        <v>658</v>
      </c>
      <c r="F66" s="104" t="s">
        <v>659</v>
      </c>
      <c r="G66" s="73">
        <v>1234567891011</v>
      </c>
      <c r="H66" s="73" t="s">
        <v>660</v>
      </c>
      <c r="I66" s="73" t="s">
        <v>661</v>
      </c>
      <c r="J66" s="73"/>
      <c r="K66" s="73"/>
      <c r="L66" s="89" t="s">
        <v>126</v>
      </c>
      <c r="M66" s="52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42">
      <c r="A67" s="84" t="s">
        <v>664</v>
      </c>
      <c r="B67" s="73" t="s">
        <v>14</v>
      </c>
      <c r="C67" s="73" t="s">
        <v>368</v>
      </c>
      <c r="D67" s="73" t="s">
        <v>665</v>
      </c>
      <c r="E67" s="73" t="s">
        <v>666</v>
      </c>
      <c r="F67" s="104" t="s">
        <v>667</v>
      </c>
      <c r="G67" s="73" t="s">
        <v>668</v>
      </c>
      <c r="H67" s="73" t="s">
        <v>669</v>
      </c>
      <c r="I67" s="73" t="s">
        <v>655</v>
      </c>
      <c r="J67" s="73"/>
      <c r="K67" s="73"/>
      <c r="L67" s="89" t="s">
        <v>126</v>
      </c>
      <c r="M67" s="52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42">
      <c r="A68" s="84" t="s">
        <v>670</v>
      </c>
      <c r="B68" s="73" t="s">
        <v>14</v>
      </c>
      <c r="C68" s="73" t="s">
        <v>410</v>
      </c>
      <c r="D68" s="73" t="s">
        <v>671</v>
      </c>
      <c r="E68" s="73" t="s">
        <v>672</v>
      </c>
      <c r="F68" s="104" t="s">
        <v>673</v>
      </c>
      <c r="G68" s="73" t="s">
        <v>674</v>
      </c>
      <c r="H68" s="73" t="s">
        <v>675</v>
      </c>
      <c r="I68" s="73" t="s">
        <v>676</v>
      </c>
      <c r="J68" s="73"/>
      <c r="K68" s="73"/>
      <c r="L68" s="89" t="s">
        <v>126</v>
      </c>
      <c r="M68" s="52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42">
      <c r="A69" s="84" t="s">
        <v>678</v>
      </c>
      <c r="B69" s="73" t="s">
        <v>14</v>
      </c>
      <c r="C69" s="73" t="s">
        <v>368</v>
      </c>
      <c r="D69" s="73" t="s">
        <v>679</v>
      </c>
      <c r="E69" s="73" t="s">
        <v>680</v>
      </c>
      <c r="F69" s="104" t="s">
        <v>681</v>
      </c>
      <c r="G69" s="73" t="s">
        <v>682</v>
      </c>
      <c r="H69" s="73" t="s">
        <v>684</v>
      </c>
      <c r="I69" s="73" t="s">
        <v>685</v>
      </c>
      <c r="J69" s="73"/>
      <c r="K69" s="73"/>
      <c r="L69" s="89" t="s">
        <v>126</v>
      </c>
      <c r="M69" s="52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42">
      <c r="A70" s="84" t="s">
        <v>686</v>
      </c>
      <c r="B70" s="73" t="s">
        <v>14</v>
      </c>
      <c r="C70" s="73" t="s">
        <v>439</v>
      </c>
      <c r="D70" s="73" t="s">
        <v>687</v>
      </c>
      <c r="E70" s="73" t="s">
        <v>688</v>
      </c>
      <c r="F70" s="104" t="s">
        <v>689</v>
      </c>
      <c r="G70" s="73" t="s">
        <v>690</v>
      </c>
      <c r="H70" s="73" t="s">
        <v>691</v>
      </c>
      <c r="I70" s="73" t="s">
        <v>692</v>
      </c>
      <c r="J70" s="73"/>
      <c r="K70" s="73"/>
      <c r="L70" s="89" t="s">
        <v>126</v>
      </c>
      <c r="M70" s="52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42">
      <c r="A71" s="84" t="s">
        <v>695</v>
      </c>
      <c r="B71" s="73" t="s">
        <v>14</v>
      </c>
      <c r="C71" s="73" t="s">
        <v>53</v>
      </c>
      <c r="D71" s="73" t="s">
        <v>697</v>
      </c>
      <c r="E71" s="73" t="s">
        <v>698</v>
      </c>
      <c r="F71" s="104" t="s">
        <v>699</v>
      </c>
      <c r="G71" s="73" t="s">
        <v>700</v>
      </c>
      <c r="H71" s="73" t="s">
        <v>701</v>
      </c>
      <c r="I71" s="73" t="s">
        <v>702</v>
      </c>
      <c r="J71" s="73"/>
      <c r="K71" s="73"/>
      <c r="L71" s="89" t="s">
        <v>126</v>
      </c>
      <c r="M71" s="52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28">
      <c r="A72" s="84" t="s">
        <v>704</v>
      </c>
      <c r="B72" s="73" t="s">
        <v>705</v>
      </c>
      <c r="C72" s="73" t="s">
        <v>439</v>
      </c>
      <c r="D72" s="73" t="s">
        <v>17</v>
      </c>
      <c r="E72" s="73" t="s">
        <v>706</v>
      </c>
      <c r="F72" s="104" t="s">
        <v>707</v>
      </c>
      <c r="G72" s="73" t="s">
        <v>429</v>
      </c>
      <c r="H72" s="73" t="s">
        <v>708</v>
      </c>
      <c r="I72" s="73" t="s">
        <v>710</v>
      </c>
      <c r="J72" s="73"/>
      <c r="K72" s="73"/>
      <c r="L72" s="89" t="s">
        <v>126</v>
      </c>
      <c r="M72" s="53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42">
      <c r="A73" s="84" t="s">
        <v>712</v>
      </c>
      <c r="B73" s="73" t="s">
        <v>705</v>
      </c>
      <c r="C73" s="73" t="s">
        <v>439</v>
      </c>
      <c r="D73" s="73" t="s">
        <v>713</v>
      </c>
      <c r="E73" s="73" t="s">
        <v>714</v>
      </c>
      <c r="F73" s="104" t="s">
        <v>715</v>
      </c>
      <c r="G73" s="73" t="s">
        <v>716</v>
      </c>
      <c r="H73" s="73" t="s">
        <v>717</v>
      </c>
      <c r="I73" s="73" t="s">
        <v>718</v>
      </c>
      <c r="J73" s="73"/>
      <c r="K73" s="73"/>
      <c r="L73" s="89" t="s">
        <v>126</v>
      </c>
      <c r="M73" s="53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42">
      <c r="A74" s="84" t="s">
        <v>719</v>
      </c>
      <c r="B74" s="73" t="s">
        <v>705</v>
      </c>
      <c r="C74" s="73" t="s">
        <v>439</v>
      </c>
      <c r="D74" s="73" t="s">
        <v>476</v>
      </c>
      <c r="E74" s="73" t="s">
        <v>720</v>
      </c>
      <c r="F74" s="104" t="s">
        <v>721</v>
      </c>
      <c r="G74" s="73" t="s">
        <v>722</v>
      </c>
      <c r="H74" s="73" t="s">
        <v>724</v>
      </c>
      <c r="I74" s="73" t="s">
        <v>725</v>
      </c>
      <c r="J74" s="73"/>
      <c r="K74" s="73"/>
      <c r="L74" s="89" t="s">
        <v>126</v>
      </c>
      <c r="M74" s="53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28">
      <c r="A75" s="84" t="s">
        <v>726</v>
      </c>
      <c r="B75" s="73" t="s">
        <v>705</v>
      </c>
      <c r="C75" s="73" t="s">
        <v>368</v>
      </c>
      <c r="D75" s="73" t="s">
        <v>483</v>
      </c>
      <c r="E75" s="73" t="s">
        <v>484</v>
      </c>
      <c r="F75" s="104" t="s">
        <v>727</v>
      </c>
      <c r="G75" s="73" t="s">
        <v>716</v>
      </c>
      <c r="H75" s="73" t="s">
        <v>631</v>
      </c>
      <c r="I75" s="73" t="s">
        <v>632</v>
      </c>
      <c r="J75" s="73"/>
      <c r="K75" s="73"/>
      <c r="L75" s="89" t="s">
        <v>126</v>
      </c>
      <c r="M75" s="53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28">
      <c r="A76" s="84" t="s">
        <v>729</v>
      </c>
      <c r="B76" s="73" t="s">
        <v>705</v>
      </c>
      <c r="C76" s="73" t="s">
        <v>368</v>
      </c>
      <c r="D76" s="73" t="s">
        <v>490</v>
      </c>
      <c r="E76" s="73" t="s">
        <v>730</v>
      </c>
      <c r="F76" s="104" t="s">
        <v>731</v>
      </c>
      <c r="G76" s="73" t="s">
        <v>732</v>
      </c>
      <c r="H76" s="73" t="s">
        <v>733</v>
      </c>
      <c r="I76" s="73" t="s">
        <v>496</v>
      </c>
      <c r="J76" s="73"/>
      <c r="K76" s="73"/>
      <c r="L76" s="89" t="s">
        <v>126</v>
      </c>
      <c r="M76" s="53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28">
      <c r="A77" s="84" t="s">
        <v>735</v>
      </c>
      <c r="B77" s="73" t="s">
        <v>705</v>
      </c>
      <c r="C77" s="73" t="s">
        <v>368</v>
      </c>
      <c r="D77" s="73" t="s">
        <v>23</v>
      </c>
      <c r="E77" s="73" t="s">
        <v>736</v>
      </c>
      <c r="F77" s="104" t="s">
        <v>738</v>
      </c>
      <c r="G77" s="73" t="s">
        <v>732</v>
      </c>
      <c r="H77" s="73" t="s">
        <v>502</v>
      </c>
      <c r="I77" s="73" t="s">
        <v>503</v>
      </c>
      <c r="J77" s="73"/>
      <c r="K77" s="73"/>
      <c r="L77" s="89" t="s">
        <v>126</v>
      </c>
      <c r="M77" s="53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42">
      <c r="A78" s="84" t="s">
        <v>741</v>
      </c>
      <c r="B78" s="73" t="s">
        <v>705</v>
      </c>
      <c r="C78" s="73" t="s">
        <v>368</v>
      </c>
      <c r="D78" s="73" t="s">
        <v>742</v>
      </c>
      <c r="E78" s="73" t="s">
        <v>744</v>
      </c>
      <c r="F78" s="104" t="s">
        <v>745</v>
      </c>
      <c r="G78" s="73" t="s">
        <v>746</v>
      </c>
      <c r="H78" s="73" t="s">
        <v>747</v>
      </c>
      <c r="I78" s="73" t="s">
        <v>748</v>
      </c>
      <c r="J78" s="73"/>
      <c r="K78" s="73"/>
      <c r="L78" s="89" t="s">
        <v>126</v>
      </c>
      <c r="M78" s="53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42">
      <c r="A79" s="84" t="s">
        <v>749</v>
      </c>
      <c r="B79" s="73" t="s">
        <v>705</v>
      </c>
      <c r="C79" s="73" t="s">
        <v>368</v>
      </c>
      <c r="D79" s="73" t="s">
        <v>742</v>
      </c>
      <c r="E79" s="73" t="s">
        <v>750</v>
      </c>
      <c r="F79" s="104" t="s">
        <v>751</v>
      </c>
      <c r="G79" s="73" t="s">
        <v>752</v>
      </c>
      <c r="H79" s="73" t="s">
        <v>753</v>
      </c>
      <c r="I79" s="73" t="s">
        <v>748</v>
      </c>
      <c r="J79" s="73"/>
      <c r="K79" s="73"/>
      <c r="L79" s="89" t="s">
        <v>126</v>
      </c>
      <c r="M79" s="53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42">
      <c r="A80" s="84" t="s">
        <v>754</v>
      </c>
      <c r="B80" s="73" t="s">
        <v>705</v>
      </c>
      <c r="C80" s="73" t="s">
        <v>368</v>
      </c>
      <c r="D80" s="73" t="s">
        <v>755</v>
      </c>
      <c r="E80" s="73" t="s">
        <v>756</v>
      </c>
      <c r="F80" s="104" t="s">
        <v>757</v>
      </c>
      <c r="G80" s="73" t="s">
        <v>758</v>
      </c>
      <c r="H80" s="73" t="s">
        <v>759</v>
      </c>
      <c r="I80" s="73" t="s">
        <v>760</v>
      </c>
      <c r="J80" s="73"/>
      <c r="K80" s="73"/>
      <c r="L80" s="89" t="s">
        <v>126</v>
      </c>
      <c r="M80" s="53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42">
      <c r="A81" s="84" t="s">
        <v>761</v>
      </c>
      <c r="B81" s="73" t="s">
        <v>705</v>
      </c>
      <c r="C81" s="73" t="s">
        <v>368</v>
      </c>
      <c r="D81" s="73" t="s">
        <v>762</v>
      </c>
      <c r="E81" s="73" t="s">
        <v>763</v>
      </c>
      <c r="F81" s="104" t="s">
        <v>764</v>
      </c>
      <c r="G81" s="73" t="s">
        <v>765</v>
      </c>
      <c r="H81" s="73" t="s">
        <v>766</v>
      </c>
      <c r="I81" s="73" t="s">
        <v>767</v>
      </c>
      <c r="J81" s="73"/>
      <c r="K81" s="73"/>
      <c r="L81" s="89" t="s">
        <v>126</v>
      </c>
      <c r="M81" s="53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28">
      <c r="A82" s="84" t="s">
        <v>775</v>
      </c>
      <c r="B82" s="73" t="s">
        <v>705</v>
      </c>
      <c r="C82" s="73" t="s">
        <v>368</v>
      </c>
      <c r="D82" s="73" t="s">
        <v>778</v>
      </c>
      <c r="E82" s="73" t="s">
        <v>780</v>
      </c>
      <c r="F82" s="104" t="s">
        <v>782</v>
      </c>
      <c r="G82" s="73" t="s">
        <v>783</v>
      </c>
      <c r="H82" s="73" t="s">
        <v>784</v>
      </c>
      <c r="I82" s="73" t="s">
        <v>785</v>
      </c>
      <c r="J82" s="73"/>
      <c r="K82" s="73"/>
      <c r="L82" s="89" t="s">
        <v>126</v>
      </c>
      <c r="M82" s="53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42">
      <c r="A83" s="84" t="s">
        <v>792</v>
      </c>
      <c r="B83" s="73" t="s">
        <v>705</v>
      </c>
      <c r="C83" s="73" t="s">
        <v>368</v>
      </c>
      <c r="D83" s="73" t="s">
        <v>793</v>
      </c>
      <c r="E83" s="73" t="s">
        <v>795</v>
      </c>
      <c r="F83" s="104" t="s">
        <v>796</v>
      </c>
      <c r="G83" s="73" t="s">
        <v>797</v>
      </c>
      <c r="H83" s="73" t="s">
        <v>798</v>
      </c>
      <c r="I83" s="73" t="s">
        <v>799</v>
      </c>
      <c r="J83" s="73"/>
      <c r="K83" s="73"/>
      <c r="L83" s="89" t="s">
        <v>126</v>
      </c>
      <c r="M83" s="53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28">
      <c r="A84" s="84" t="s">
        <v>800</v>
      </c>
      <c r="B84" s="73" t="s">
        <v>705</v>
      </c>
      <c r="C84" s="73" t="s">
        <v>368</v>
      </c>
      <c r="D84" s="73" t="s">
        <v>801</v>
      </c>
      <c r="E84" s="73" t="s">
        <v>802</v>
      </c>
      <c r="F84" s="104" t="s">
        <v>803</v>
      </c>
      <c r="G84" s="73" t="s">
        <v>804</v>
      </c>
      <c r="H84" s="73" t="s">
        <v>805</v>
      </c>
      <c r="I84" s="73" t="s">
        <v>806</v>
      </c>
      <c r="J84" s="73"/>
      <c r="K84" s="73"/>
      <c r="L84" s="89" t="s">
        <v>126</v>
      </c>
      <c r="M84" s="53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42">
      <c r="A85" s="84" t="s">
        <v>807</v>
      </c>
      <c r="B85" s="73" t="s">
        <v>705</v>
      </c>
      <c r="C85" s="73" t="s">
        <v>368</v>
      </c>
      <c r="D85" s="73" t="s">
        <v>809</v>
      </c>
      <c r="E85" s="73" t="s">
        <v>811</v>
      </c>
      <c r="F85" s="104" t="s">
        <v>812</v>
      </c>
      <c r="G85" s="73" t="s">
        <v>430</v>
      </c>
      <c r="H85" s="73" t="s">
        <v>813</v>
      </c>
      <c r="I85" s="73" t="s">
        <v>814</v>
      </c>
      <c r="J85" s="73"/>
      <c r="K85" s="73"/>
      <c r="L85" s="89" t="s">
        <v>126</v>
      </c>
      <c r="M85" s="53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42">
      <c r="A86" s="84" t="s">
        <v>815</v>
      </c>
      <c r="B86" s="73" t="s">
        <v>705</v>
      </c>
      <c r="C86" s="73" t="s">
        <v>439</v>
      </c>
      <c r="D86" s="73" t="s">
        <v>817</v>
      </c>
      <c r="E86" s="73" t="s">
        <v>818</v>
      </c>
      <c r="F86" s="104" t="s">
        <v>819</v>
      </c>
      <c r="G86" s="73" t="s">
        <v>820</v>
      </c>
      <c r="H86" s="73" t="s">
        <v>821</v>
      </c>
      <c r="I86" s="73" t="s">
        <v>822</v>
      </c>
      <c r="J86" s="73"/>
      <c r="K86" s="73"/>
      <c r="L86" s="89" t="s">
        <v>126</v>
      </c>
      <c r="M86" s="53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42">
      <c r="A87" s="84" t="s">
        <v>823</v>
      </c>
      <c r="B87" s="73" t="s">
        <v>705</v>
      </c>
      <c r="C87" s="73" t="s">
        <v>368</v>
      </c>
      <c r="D87" s="73" t="s">
        <v>824</v>
      </c>
      <c r="E87" s="73" t="s">
        <v>825</v>
      </c>
      <c r="F87" s="104" t="s">
        <v>826</v>
      </c>
      <c r="G87" s="73" t="s">
        <v>827</v>
      </c>
      <c r="H87" s="73" t="s">
        <v>828</v>
      </c>
      <c r="I87" s="73" t="s">
        <v>829</v>
      </c>
      <c r="J87" s="73"/>
      <c r="K87" s="73"/>
      <c r="L87" s="89" t="s">
        <v>126</v>
      </c>
      <c r="M87" s="53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28">
      <c r="A88" s="84" t="s">
        <v>834</v>
      </c>
      <c r="B88" s="73" t="s">
        <v>23</v>
      </c>
      <c r="C88" s="73" t="s">
        <v>368</v>
      </c>
      <c r="D88" s="73" t="s">
        <v>836</v>
      </c>
      <c r="E88" s="73" t="s">
        <v>837</v>
      </c>
      <c r="F88" s="104" t="s">
        <v>838</v>
      </c>
      <c r="G88" s="73" t="s">
        <v>430</v>
      </c>
      <c r="H88" s="73" t="s">
        <v>839</v>
      </c>
      <c r="I88" s="73" t="s">
        <v>840</v>
      </c>
      <c r="J88" s="73"/>
      <c r="K88" s="73"/>
      <c r="L88" s="89" t="s">
        <v>126</v>
      </c>
      <c r="M88" s="53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28">
      <c r="A89" s="84" t="s">
        <v>842</v>
      </c>
      <c r="B89" s="73" t="s">
        <v>23</v>
      </c>
      <c r="C89" s="73" t="s">
        <v>368</v>
      </c>
      <c r="D89" s="73" t="s">
        <v>843</v>
      </c>
      <c r="E89" s="73" t="s">
        <v>844</v>
      </c>
      <c r="F89" s="104" t="s">
        <v>845</v>
      </c>
      <c r="G89" s="73" t="s">
        <v>847</v>
      </c>
      <c r="H89" s="73" t="s">
        <v>502</v>
      </c>
      <c r="I89" s="73" t="s">
        <v>848</v>
      </c>
      <c r="J89" s="73"/>
      <c r="K89" s="73"/>
      <c r="L89" s="89" t="s">
        <v>126</v>
      </c>
      <c r="M89" s="53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28">
      <c r="A90" s="84" t="s">
        <v>850</v>
      </c>
      <c r="B90" s="73" t="s">
        <v>23</v>
      </c>
      <c r="C90" s="73" t="s">
        <v>368</v>
      </c>
      <c r="D90" s="73" t="s">
        <v>851</v>
      </c>
      <c r="E90" s="73" t="s">
        <v>852</v>
      </c>
      <c r="F90" s="104" t="s">
        <v>853</v>
      </c>
      <c r="G90" s="73" t="s">
        <v>854</v>
      </c>
      <c r="H90" s="73" t="s">
        <v>856</v>
      </c>
      <c r="I90" s="73" t="s">
        <v>858</v>
      </c>
      <c r="J90" s="73"/>
      <c r="K90" s="73"/>
      <c r="L90" s="89" t="s">
        <v>126</v>
      </c>
      <c r="M90" s="53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42">
      <c r="A91" s="84" t="s">
        <v>862</v>
      </c>
      <c r="B91" s="73" t="s">
        <v>23</v>
      </c>
      <c r="C91" s="73" t="s">
        <v>439</v>
      </c>
      <c r="D91" s="73" t="s">
        <v>865</v>
      </c>
      <c r="E91" s="73" t="s">
        <v>866</v>
      </c>
      <c r="F91" s="104" t="s">
        <v>867</v>
      </c>
      <c r="G91" s="73" t="s">
        <v>854</v>
      </c>
      <c r="H91" s="73" t="s">
        <v>868</v>
      </c>
      <c r="I91" s="73" t="s">
        <v>869</v>
      </c>
      <c r="J91" s="105" t="s">
        <v>870</v>
      </c>
      <c r="K91" s="73"/>
      <c r="L91" s="91" t="s">
        <v>137</v>
      </c>
      <c r="M91" s="53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28">
      <c r="A92" s="84" t="s">
        <v>880</v>
      </c>
      <c r="B92" s="73" t="s">
        <v>23</v>
      </c>
      <c r="C92" s="73" t="s">
        <v>368</v>
      </c>
      <c r="D92" s="73" t="s">
        <v>881</v>
      </c>
      <c r="E92" s="73" t="s">
        <v>882</v>
      </c>
      <c r="F92" s="104" t="s">
        <v>883</v>
      </c>
      <c r="G92" s="73" t="s">
        <v>854</v>
      </c>
      <c r="H92" s="73" t="s">
        <v>884</v>
      </c>
      <c r="I92" s="73" t="s">
        <v>885</v>
      </c>
      <c r="J92" s="73"/>
      <c r="K92" s="73"/>
      <c r="L92" s="89" t="s">
        <v>126</v>
      </c>
      <c r="M92" s="53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28">
      <c r="A93" s="84" t="s">
        <v>887</v>
      </c>
      <c r="B93" s="73" t="s">
        <v>23</v>
      </c>
      <c r="C93" s="73" t="s">
        <v>368</v>
      </c>
      <c r="D93" s="73" t="s">
        <v>888</v>
      </c>
      <c r="E93" s="73" t="s">
        <v>889</v>
      </c>
      <c r="F93" s="104" t="s">
        <v>890</v>
      </c>
      <c r="G93" s="73" t="s">
        <v>891</v>
      </c>
      <c r="H93" s="73" t="s">
        <v>892</v>
      </c>
      <c r="I93" s="73" t="s">
        <v>893</v>
      </c>
      <c r="J93" s="73"/>
      <c r="K93" s="73"/>
      <c r="L93" s="89" t="s">
        <v>126</v>
      </c>
      <c r="M93" s="53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28">
      <c r="A94" s="84" t="s">
        <v>896</v>
      </c>
      <c r="B94" s="73" t="s">
        <v>23</v>
      </c>
      <c r="C94" s="73" t="s">
        <v>368</v>
      </c>
      <c r="D94" s="73" t="s">
        <v>898</v>
      </c>
      <c r="E94" s="73" t="s">
        <v>899</v>
      </c>
      <c r="F94" s="104" t="s">
        <v>901</v>
      </c>
      <c r="G94" s="73" t="s">
        <v>902</v>
      </c>
      <c r="H94" s="73" t="s">
        <v>904</v>
      </c>
      <c r="I94" s="73" t="s">
        <v>905</v>
      </c>
      <c r="J94" s="73"/>
      <c r="K94" s="73"/>
      <c r="L94" s="89" t="s">
        <v>126</v>
      </c>
      <c r="M94" s="53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28">
      <c r="A95" s="84" t="s">
        <v>906</v>
      </c>
      <c r="B95" s="73" t="s">
        <v>23</v>
      </c>
      <c r="C95" s="73" t="s">
        <v>368</v>
      </c>
      <c r="D95" s="73" t="s">
        <v>490</v>
      </c>
      <c r="E95" s="73" t="s">
        <v>907</v>
      </c>
      <c r="F95" s="104" t="s">
        <v>908</v>
      </c>
      <c r="G95" s="73" t="s">
        <v>854</v>
      </c>
      <c r="H95" s="73" t="s">
        <v>909</v>
      </c>
      <c r="I95" s="73" t="s">
        <v>496</v>
      </c>
      <c r="J95" s="73"/>
      <c r="K95" s="73"/>
      <c r="L95" s="89" t="s">
        <v>126</v>
      </c>
      <c r="M95" s="53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42">
      <c r="A96" s="84" t="s">
        <v>912</v>
      </c>
      <c r="B96" s="73" t="s">
        <v>23</v>
      </c>
      <c r="C96" s="73" t="s">
        <v>368</v>
      </c>
      <c r="D96" s="73" t="s">
        <v>913</v>
      </c>
      <c r="E96" s="73" t="s">
        <v>914</v>
      </c>
      <c r="F96" s="104" t="s">
        <v>915</v>
      </c>
      <c r="G96" s="73" t="s">
        <v>916</v>
      </c>
      <c r="H96" s="73" t="s">
        <v>917</v>
      </c>
      <c r="I96" s="73" t="s">
        <v>918</v>
      </c>
      <c r="J96" s="73"/>
      <c r="K96" s="73"/>
      <c r="L96" s="89" t="s">
        <v>126</v>
      </c>
      <c r="M96" s="53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42">
      <c r="A97" s="84" t="s">
        <v>919</v>
      </c>
      <c r="B97" s="73" t="s">
        <v>23</v>
      </c>
      <c r="C97" s="73" t="s">
        <v>368</v>
      </c>
      <c r="D97" s="73" t="s">
        <v>921</v>
      </c>
      <c r="E97" s="73" t="s">
        <v>922</v>
      </c>
      <c r="F97" s="104" t="s">
        <v>924</v>
      </c>
      <c r="G97" s="73" t="s">
        <v>925</v>
      </c>
      <c r="H97" s="73" t="s">
        <v>927</v>
      </c>
      <c r="I97" s="73" t="s">
        <v>928</v>
      </c>
      <c r="J97" s="73"/>
      <c r="K97" s="73"/>
      <c r="L97" s="89" t="s">
        <v>126</v>
      </c>
      <c r="M97" s="53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42">
      <c r="A98" s="84" t="s">
        <v>932</v>
      </c>
      <c r="B98" s="73" t="s">
        <v>23</v>
      </c>
      <c r="C98" s="73" t="s">
        <v>53</v>
      </c>
      <c r="D98" s="73" t="s">
        <v>934</v>
      </c>
      <c r="E98" s="73" t="s">
        <v>936</v>
      </c>
      <c r="F98" s="104" t="s">
        <v>937</v>
      </c>
      <c r="G98" s="73" t="s">
        <v>938</v>
      </c>
      <c r="H98" s="73" t="s">
        <v>939</v>
      </c>
      <c r="I98" s="73" t="s">
        <v>940</v>
      </c>
      <c r="J98" s="73"/>
      <c r="K98" s="73"/>
      <c r="L98" s="89" t="s">
        <v>126</v>
      </c>
      <c r="M98" s="53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42">
      <c r="A99" s="84" t="s">
        <v>941</v>
      </c>
      <c r="B99" s="73" t="s">
        <v>26</v>
      </c>
      <c r="C99" s="73" t="s">
        <v>368</v>
      </c>
      <c r="D99" s="73" t="s">
        <v>942</v>
      </c>
      <c r="E99" s="73" t="s">
        <v>943</v>
      </c>
      <c r="F99" s="104" t="s">
        <v>944</v>
      </c>
      <c r="G99" s="73" t="s">
        <v>945</v>
      </c>
      <c r="H99" s="73" t="s">
        <v>733</v>
      </c>
      <c r="I99" s="73" t="s">
        <v>848</v>
      </c>
      <c r="J99" s="73"/>
      <c r="K99" s="73"/>
      <c r="L99" s="89" t="s">
        <v>126</v>
      </c>
      <c r="M99" s="53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42">
      <c r="A100" s="84" t="s">
        <v>948</v>
      </c>
      <c r="B100" s="73" t="s">
        <v>26</v>
      </c>
      <c r="C100" s="73" t="s">
        <v>368</v>
      </c>
      <c r="D100" s="73" t="s">
        <v>865</v>
      </c>
      <c r="E100" s="73" t="s">
        <v>949</v>
      </c>
      <c r="F100" s="104" t="s">
        <v>951</v>
      </c>
      <c r="G100" s="73" t="s">
        <v>953</v>
      </c>
      <c r="H100" s="73" t="s">
        <v>955</v>
      </c>
      <c r="I100" s="73" t="s">
        <v>956</v>
      </c>
      <c r="J100" s="73"/>
      <c r="K100" s="73"/>
      <c r="L100" s="89" t="s">
        <v>126</v>
      </c>
      <c r="M100" s="53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28">
      <c r="A101" s="84" t="s">
        <v>961</v>
      </c>
      <c r="B101" s="73" t="s">
        <v>26</v>
      </c>
      <c r="C101" s="73" t="s">
        <v>368</v>
      </c>
      <c r="D101" s="73" t="s">
        <v>962</v>
      </c>
      <c r="E101" s="73" t="s">
        <v>963</v>
      </c>
      <c r="F101" s="104" t="s">
        <v>964</v>
      </c>
      <c r="G101" s="73" t="s">
        <v>965</v>
      </c>
      <c r="H101" s="73" t="s">
        <v>966</v>
      </c>
      <c r="I101" s="73" t="s">
        <v>967</v>
      </c>
      <c r="J101" s="73"/>
      <c r="K101" s="73"/>
      <c r="L101" s="89" t="s">
        <v>126</v>
      </c>
      <c r="M101" s="53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28">
      <c r="A102" s="84" t="s">
        <v>970</v>
      </c>
      <c r="B102" s="73" t="s">
        <v>26</v>
      </c>
      <c r="C102" s="73" t="s">
        <v>368</v>
      </c>
      <c r="D102" s="73" t="s">
        <v>972</v>
      </c>
      <c r="E102" s="73" t="s">
        <v>973</v>
      </c>
      <c r="F102" s="104" t="s">
        <v>975</v>
      </c>
      <c r="G102" s="73" t="s">
        <v>977</v>
      </c>
      <c r="H102" s="73" t="s">
        <v>978</v>
      </c>
      <c r="I102" s="73" t="s">
        <v>980</v>
      </c>
      <c r="J102" s="73"/>
      <c r="K102" s="73"/>
      <c r="L102" s="89" t="s">
        <v>126</v>
      </c>
      <c r="M102" s="53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42">
      <c r="A103" s="84" t="s">
        <v>984</v>
      </c>
      <c r="B103" s="73" t="s">
        <v>26</v>
      </c>
      <c r="C103" s="73" t="s">
        <v>410</v>
      </c>
      <c r="D103" s="73" t="s">
        <v>985</v>
      </c>
      <c r="E103" s="73" t="s">
        <v>986</v>
      </c>
      <c r="F103" s="104" t="s">
        <v>987</v>
      </c>
      <c r="G103" s="73" t="s">
        <v>988</v>
      </c>
      <c r="H103" s="73" t="s">
        <v>989</v>
      </c>
      <c r="I103" s="73" t="s">
        <v>990</v>
      </c>
      <c r="J103" s="73"/>
      <c r="K103" s="73"/>
      <c r="L103" s="89" t="s">
        <v>126</v>
      </c>
      <c r="M103" s="53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42">
      <c r="A104" s="84" t="s">
        <v>991</v>
      </c>
      <c r="B104" s="73" t="s">
        <v>26</v>
      </c>
      <c r="C104" s="73" t="s">
        <v>410</v>
      </c>
      <c r="D104" s="73" t="s">
        <v>992</v>
      </c>
      <c r="E104" s="73" t="s">
        <v>993</v>
      </c>
      <c r="F104" s="104" t="s">
        <v>994</v>
      </c>
      <c r="G104" s="73" t="s">
        <v>995</v>
      </c>
      <c r="H104" s="73" t="s">
        <v>996</v>
      </c>
      <c r="I104" s="73" t="s">
        <v>997</v>
      </c>
      <c r="J104" s="73"/>
      <c r="K104" s="73"/>
      <c r="L104" s="89" t="s">
        <v>126</v>
      </c>
      <c r="M104" s="53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28">
      <c r="A105" s="84" t="s">
        <v>998</v>
      </c>
      <c r="B105" s="73" t="s">
        <v>26</v>
      </c>
      <c r="C105" s="73" t="s">
        <v>368</v>
      </c>
      <c r="D105" s="73" t="s">
        <v>999</v>
      </c>
      <c r="E105" s="73" t="s">
        <v>1000</v>
      </c>
      <c r="F105" s="104" t="s">
        <v>1001</v>
      </c>
      <c r="G105" s="73" t="s">
        <v>1002</v>
      </c>
      <c r="H105" s="73" t="s">
        <v>884</v>
      </c>
      <c r="I105" s="73" t="s">
        <v>1003</v>
      </c>
      <c r="J105" s="73"/>
      <c r="K105" s="73"/>
      <c r="L105" s="89" t="s">
        <v>126</v>
      </c>
      <c r="M105" s="53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28">
      <c r="A106" s="84" t="s">
        <v>1004</v>
      </c>
      <c r="B106" s="73" t="s">
        <v>26</v>
      </c>
      <c r="C106" s="73" t="s">
        <v>368</v>
      </c>
      <c r="D106" s="73" t="s">
        <v>1005</v>
      </c>
      <c r="E106" s="73" t="s">
        <v>1006</v>
      </c>
      <c r="F106" s="104" t="s">
        <v>1007</v>
      </c>
      <c r="G106" s="73" t="s">
        <v>1008</v>
      </c>
      <c r="H106" s="73" t="s">
        <v>1009</v>
      </c>
      <c r="I106" s="73" t="s">
        <v>1010</v>
      </c>
      <c r="J106" s="73"/>
      <c r="K106" s="73"/>
      <c r="L106" s="89" t="s">
        <v>126</v>
      </c>
      <c r="M106" s="53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42">
      <c r="A107" s="84" t="s">
        <v>1011</v>
      </c>
      <c r="B107" s="73" t="s">
        <v>26</v>
      </c>
      <c r="C107" s="73" t="s">
        <v>368</v>
      </c>
      <c r="D107" s="73" t="s">
        <v>1012</v>
      </c>
      <c r="E107" s="73" t="s">
        <v>1013</v>
      </c>
      <c r="F107" s="104" t="s">
        <v>1014</v>
      </c>
      <c r="G107" s="73" t="s">
        <v>1015</v>
      </c>
      <c r="H107" s="73" t="s">
        <v>1016</v>
      </c>
      <c r="I107" s="73" t="s">
        <v>1017</v>
      </c>
      <c r="J107" s="73"/>
      <c r="K107" s="73"/>
      <c r="L107" s="89" t="s">
        <v>126</v>
      </c>
      <c r="M107" s="53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56">
      <c r="A108" s="84" t="s">
        <v>1018</v>
      </c>
      <c r="B108" s="73" t="s">
        <v>26</v>
      </c>
      <c r="C108" s="73" t="s">
        <v>368</v>
      </c>
      <c r="D108" s="73" t="s">
        <v>1019</v>
      </c>
      <c r="E108" s="73" t="s">
        <v>1020</v>
      </c>
      <c r="F108" s="104" t="s">
        <v>1021</v>
      </c>
      <c r="G108" s="73" t="s">
        <v>430</v>
      </c>
      <c r="H108" s="73" t="s">
        <v>1022</v>
      </c>
      <c r="I108" s="73" t="s">
        <v>1023</v>
      </c>
      <c r="J108" s="73"/>
      <c r="K108" s="73"/>
      <c r="L108" s="89" t="s">
        <v>126</v>
      </c>
      <c r="M108" s="53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42">
      <c r="A109" s="84" t="s">
        <v>1024</v>
      </c>
      <c r="B109" s="73" t="s">
        <v>26</v>
      </c>
      <c r="C109" s="73" t="s">
        <v>368</v>
      </c>
      <c r="D109" s="73" t="s">
        <v>1025</v>
      </c>
      <c r="E109" s="73" t="s">
        <v>1026</v>
      </c>
      <c r="F109" s="104" t="s">
        <v>1027</v>
      </c>
      <c r="G109" s="73" t="s">
        <v>722</v>
      </c>
      <c r="H109" s="73" t="s">
        <v>1028</v>
      </c>
      <c r="I109" s="73" t="s">
        <v>1029</v>
      </c>
      <c r="J109" s="73"/>
      <c r="K109" s="73"/>
      <c r="L109" s="89" t="s">
        <v>126</v>
      </c>
      <c r="M109" s="53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42">
      <c r="A110" s="84" t="s">
        <v>1030</v>
      </c>
      <c r="B110" s="73" t="s">
        <v>26</v>
      </c>
      <c r="C110" s="73" t="s">
        <v>368</v>
      </c>
      <c r="D110" s="73" t="s">
        <v>505</v>
      </c>
      <c r="E110" s="73" t="s">
        <v>1031</v>
      </c>
      <c r="F110" s="104" t="s">
        <v>1032</v>
      </c>
      <c r="G110" s="73" t="s">
        <v>1033</v>
      </c>
      <c r="H110" s="73" t="s">
        <v>1034</v>
      </c>
      <c r="I110" s="73" t="s">
        <v>1035</v>
      </c>
      <c r="J110" s="73"/>
      <c r="K110" s="73"/>
      <c r="L110" s="89" t="s">
        <v>126</v>
      </c>
      <c r="M110" s="53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42">
      <c r="A111" s="84" t="s">
        <v>1036</v>
      </c>
      <c r="B111" s="73" t="s">
        <v>26</v>
      </c>
      <c r="C111" s="73" t="s">
        <v>368</v>
      </c>
      <c r="D111" s="73" t="s">
        <v>29</v>
      </c>
      <c r="E111" s="73" t="s">
        <v>1037</v>
      </c>
      <c r="F111" s="104" t="s">
        <v>1038</v>
      </c>
      <c r="G111" s="73" t="s">
        <v>1039</v>
      </c>
      <c r="H111" s="73" t="s">
        <v>1040</v>
      </c>
      <c r="I111" s="73" t="s">
        <v>1041</v>
      </c>
      <c r="J111" s="73"/>
      <c r="K111" s="73"/>
      <c r="L111" s="89" t="s">
        <v>126</v>
      </c>
      <c r="M111" s="53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42">
      <c r="A112" s="84" t="s">
        <v>1042</v>
      </c>
      <c r="B112" s="73" t="s">
        <v>26</v>
      </c>
      <c r="C112" s="73" t="s">
        <v>368</v>
      </c>
      <c r="D112" s="73" t="s">
        <v>1043</v>
      </c>
      <c r="E112" s="73" t="s">
        <v>1044</v>
      </c>
      <c r="F112" s="104" t="s">
        <v>1045</v>
      </c>
      <c r="G112" s="73" t="s">
        <v>1046</v>
      </c>
      <c r="H112" s="73" t="s">
        <v>1047</v>
      </c>
      <c r="I112" s="73" t="s">
        <v>1048</v>
      </c>
      <c r="J112" s="73"/>
      <c r="K112" s="73"/>
      <c r="L112" s="89" t="s">
        <v>126</v>
      </c>
      <c r="M112" s="53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56">
      <c r="A113" s="84" t="s">
        <v>1049</v>
      </c>
      <c r="B113" s="73" t="s">
        <v>26</v>
      </c>
      <c r="C113" s="73" t="s">
        <v>368</v>
      </c>
      <c r="D113" s="73" t="s">
        <v>1043</v>
      </c>
      <c r="E113" s="73" t="s">
        <v>1050</v>
      </c>
      <c r="F113" s="104" t="s">
        <v>1051</v>
      </c>
      <c r="G113" s="73" t="s">
        <v>1046</v>
      </c>
      <c r="H113" s="73" t="s">
        <v>1052</v>
      </c>
      <c r="I113" s="73" t="s">
        <v>1053</v>
      </c>
      <c r="J113" s="73"/>
      <c r="K113" s="73"/>
      <c r="L113" s="89" t="s">
        <v>126</v>
      </c>
      <c r="M113" s="53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42">
      <c r="A114" s="84" t="s">
        <v>1054</v>
      </c>
      <c r="B114" s="73" t="s">
        <v>32</v>
      </c>
      <c r="C114" s="73" t="s">
        <v>368</v>
      </c>
      <c r="D114" s="73" t="s">
        <v>1055</v>
      </c>
      <c r="E114" s="73" t="s">
        <v>1056</v>
      </c>
      <c r="F114" s="104" t="s">
        <v>1057</v>
      </c>
      <c r="G114" s="73" t="s">
        <v>1058</v>
      </c>
      <c r="H114" s="73" t="s">
        <v>1059</v>
      </c>
      <c r="I114" s="73" t="s">
        <v>1060</v>
      </c>
      <c r="J114" s="73"/>
      <c r="K114" s="73"/>
      <c r="L114" s="89" t="s">
        <v>126</v>
      </c>
      <c r="M114" s="53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42">
      <c r="A115" s="84" t="s">
        <v>1061</v>
      </c>
      <c r="B115" s="73" t="s">
        <v>32</v>
      </c>
      <c r="C115" s="73" t="s">
        <v>439</v>
      </c>
      <c r="D115" s="73" t="s">
        <v>1062</v>
      </c>
      <c r="E115" s="73" t="s">
        <v>1063</v>
      </c>
      <c r="F115" s="104" t="s">
        <v>1064</v>
      </c>
      <c r="G115" s="73" t="s">
        <v>430</v>
      </c>
      <c r="H115" s="73" t="s">
        <v>1065</v>
      </c>
      <c r="I115" s="73" t="s">
        <v>1066</v>
      </c>
      <c r="J115" s="73"/>
      <c r="K115" s="73"/>
      <c r="L115" s="89" t="s">
        <v>126</v>
      </c>
      <c r="M115" s="53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28">
      <c r="A116" s="84" t="s">
        <v>1067</v>
      </c>
      <c r="B116" s="73" t="s">
        <v>32</v>
      </c>
      <c r="C116" s="73" t="s">
        <v>368</v>
      </c>
      <c r="D116" s="73" t="s">
        <v>1068</v>
      </c>
      <c r="E116" s="73" t="s">
        <v>1069</v>
      </c>
      <c r="F116" s="104" t="s">
        <v>1070</v>
      </c>
      <c r="G116" s="73" t="s">
        <v>1071</v>
      </c>
      <c r="H116" s="73" t="s">
        <v>1072</v>
      </c>
      <c r="I116" s="73" t="s">
        <v>1073</v>
      </c>
      <c r="J116" s="73"/>
      <c r="K116" s="73"/>
      <c r="L116" s="89" t="s">
        <v>126</v>
      </c>
      <c r="M116" s="53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42">
      <c r="A117" s="84" t="s">
        <v>1074</v>
      </c>
      <c r="B117" s="73" t="s">
        <v>32</v>
      </c>
      <c r="C117" s="73" t="s">
        <v>368</v>
      </c>
      <c r="D117" s="73" t="s">
        <v>1075</v>
      </c>
      <c r="E117" s="73" t="s">
        <v>1076</v>
      </c>
      <c r="F117" s="104" t="s">
        <v>1077</v>
      </c>
      <c r="G117" s="73" t="s">
        <v>1078</v>
      </c>
      <c r="H117" s="73" t="s">
        <v>1079</v>
      </c>
      <c r="I117" s="73" t="s">
        <v>1080</v>
      </c>
      <c r="J117" s="73"/>
      <c r="K117" s="73"/>
      <c r="L117" s="89" t="s">
        <v>126</v>
      </c>
      <c r="M117" s="53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56">
      <c r="A118" s="84" t="s">
        <v>1081</v>
      </c>
      <c r="B118" s="73" t="s">
        <v>32</v>
      </c>
      <c r="C118" s="73" t="s">
        <v>439</v>
      </c>
      <c r="D118" s="73" t="s">
        <v>1082</v>
      </c>
      <c r="E118" s="73" t="s">
        <v>1083</v>
      </c>
      <c r="F118" s="104" t="s">
        <v>1084</v>
      </c>
      <c r="G118" s="73" t="s">
        <v>1085</v>
      </c>
      <c r="H118" s="73" t="s">
        <v>1086</v>
      </c>
      <c r="I118" s="73" t="s">
        <v>1087</v>
      </c>
      <c r="J118" s="73"/>
      <c r="K118" s="73"/>
      <c r="L118" s="89" t="s">
        <v>126</v>
      </c>
      <c r="M118" s="53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42">
      <c r="A119" s="84" t="s">
        <v>1088</v>
      </c>
      <c r="B119" s="73" t="s">
        <v>32</v>
      </c>
      <c r="C119" s="73" t="s">
        <v>368</v>
      </c>
      <c r="D119" s="73" t="s">
        <v>1089</v>
      </c>
      <c r="E119" s="73" t="s">
        <v>1090</v>
      </c>
      <c r="F119" s="104" t="s">
        <v>1091</v>
      </c>
      <c r="G119" s="73" t="s">
        <v>1092</v>
      </c>
      <c r="H119" s="73" t="s">
        <v>1093</v>
      </c>
      <c r="I119" s="73" t="s">
        <v>1094</v>
      </c>
      <c r="J119" s="73"/>
      <c r="K119" s="73"/>
      <c r="L119" s="89" t="s">
        <v>126</v>
      </c>
      <c r="M119" s="53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42">
      <c r="A120" s="84" t="s">
        <v>1095</v>
      </c>
      <c r="B120" s="73" t="s">
        <v>32</v>
      </c>
      <c r="C120" s="73" t="s">
        <v>368</v>
      </c>
      <c r="D120" s="73" t="s">
        <v>1096</v>
      </c>
      <c r="E120" s="73" t="s">
        <v>1097</v>
      </c>
      <c r="F120" s="104" t="s">
        <v>1098</v>
      </c>
      <c r="G120" s="73" t="s">
        <v>1099</v>
      </c>
      <c r="H120" s="73" t="s">
        <v>1100</v>
      </c>
      <c r="I120" s="73" t="s">
        <v>1101</v>
      </c>
      <c r="J120" s="73"/>
      <c r="K120" s="73"/>
      <c r="L120" s="89" t="s">
        <v>126</v>
      </c>
      <c r="M120" s="53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28">
      <c r="A121" s="84" t="s">
        <v>1102</v>
      </c>
      <c r="B121" s="73" t="s">
        <v>32</v>
      </c>
      <c r="C121" s="73" t="s">
        <v>368</v>
      </c>
      <c r="D121" s="73" t="s">
        <v>1103</v>
      </c>
      <c r="E121" s="73" t="s">
        <v>1104</v>
      </c>
      <c r="F121" s="104" t="s">
        <v>1105</v>
      </c>
      <c r="G121" s="73" t="s">
        <v>1106</v>
      </c>
      <c r="H121" s="73" t="s">
        <v>1107</v>
      </c>
      <c r="I121" s="73" t="s">
        <v>1108</v>
      </c>
      <c r="J121" s="73"/>
      <c r="K121" s="73"/>
      <c r="L121" s="89" t="s">
        <v>126</v>
      </c>
      <c r="M121" s="53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42">
      <c r="A122" s="84" t="s">
        <v>1109</v>
      </c>
      <c r="B122" s="73" t="s">
        <v>32</v>
      </c>
      <c r="C122" s="73" t="s">
        <v>410</v>
      </c>
      <c r="D122" s="73" t="s">
        <v>1110</v>
      </c>
      <c r="E122" s="73" t="s">
        <v>1111</v>
      </c>
      <c r="F122" s="104" t="s">
        <v>1112</v>
      </c>
      <c r="G122" s="73" t="s">
        <v>1113</v>
      </c>
      <c r="H122" s="73" t="s">
        <v>1114</v>
      </c>
      <c r="I122" s="73" t="s">
        <v>1115</v>
      </c>
      <c r="J122" s="73"/>
      <c r="K122" s="73"/>
      <c r="L122" s="89" t="s">
        <v>126</v>
      </c>
      <c r="M122" s="53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42">
      <c r="A123" s="84" t="s">
        <v>1116</v>
      </c>
      <c r="B123" s="73" t="s">
        <v>32</v>
      </c>
      <c r="C123" s="73" t="s">
        <v>368</v>
      </c>
      <c r="D123" s="73" t="s">
        <v>1117</v>
      </c>
      <c r="E123" s="73" t="s">
        <v>1118</v>
      </c>
      <c r="F123" s="104" t="s">
        <v>1119</v>
      </c>
      <c r="G123" s="73" t="s">
        <v>1120</v>
      </c>
      <c r="H123" s="73" t="s">
        <v>1121</v>
      </c>
      <c r="I123" s="73" t="s">
        <v>1122</v>
      </c>
      <c r="J123" s="73"/>
      <c r="K123" s="73"/>
      <c r="L123" s="89" t="s">
        <v>126</v>
      </c>
      <c r="M123" s="53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42">
      <c r="A124" s="84" t="s">
        <v>1123</v>
      </c>
      <c r="B124" s="73" t="s">
        <v>32</v>
      </c>
      <c r="C124" s="73" t="s">
        <v>410</v>
      </c>
      <c r="D124" s="73" t="s">
        <v>1124</v>
      </c>
      <c r="E124" s="73" t="s">
        <v>1125</v>
      </c>
      <c r="F124" s="104" t="s">
        <v>1126</v>
      </c>
      <c r="G124" s="73" t="s">
        <v>1127</v>
      </c>
      <c r="H124" s="73" t="s">
        <v>1128</v>
      </c>
      <c r="I124" s="73" t="s">
        <v>1129</v>
      </c>
      <c r="J124" s="73"/>
      <c r="K124" s="73"/>
      <c r="L124" s="89" t="s">
        <v>126</v>
      </c>
      <c r="M124" s="53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42">
      <c r="A125" s="84" t="s">
        <v>1130</v>
      </c>
      <c r="B125" s="73" t="s">
        <v>32</v>
      </c>
      <c r="C125" s="73" t="s">
        <v>368</v>
      </c>
      <c r="D125" s="73" t="s">
        <v>1131</v>
      </c>
      <c r="E125" s="73" t="s">
        <v>1132</v>
      </c>
      <c r="F125" s="104" t="s">
        <v>1133</v>
      </c>
      <c r="G125" s="73" t="s">
        <v>1134</v>
      </c>
      <c r="H125" s="73" t="s">
        <v>1135</v>
      </c>
      <c r="I125" s="73" t="s">
        <v>1136</v>
      </c>
      <c r="J125" s="73"/>
      <c r="K125" s="73"/>
      <c r="L125" s="89" t="s">
        <v>126</v>
      </c>
      <c r="M125" s="53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42">
      <c r="A126" s="84" t="s">
        <v>1137</v>
      </c>
      <c r="B126" s="73" t="s">
        <v>32</v>
      </c>
      <c r="C126" s="73" t="s">
        <v>368</v>
      </c>
      <c r="D126" s="73" t="s">
        <v>1138</v>
      </c>
      <c r="E126" s="73" t="s">
        <v>1139</v>
      </c>
      <c r="F126" s="104" t="s">
        <v>1140</v>
      </c>
      <c r="G126" s="73" t="s">
        <v>1141</v>
      </c>
      <c r="H126" s="73" t="s">
        <v>1142</v>
      </c>
      <c r="I126" s="73" t="s">
        <v>1143</v>
      </c>
      <c r="J126" s="73"/>
      <c r="K126" s="73"/>
      <c r="L126" s="89" t="s">
        <v>126</v>
      </c>
      <c r="M126" s="53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42">
      <c r="A127" s="84" t="s">
        <v>1144</v>
      </c>
      <c r="B127" s="73" t="s">
        <v>32</v>
      </c>
      <c r="C127" s="73" t="s">
        <v>368</v>
      </c>
      <c r="D127" s="73" t="s">
        <v>1145</v>
      </c>
      <c r="E127" s="73" t="s">
        <v>1146</v>
      </c>
      <c r="F127" s="104" t="s">
        <v>1147</v>
      </c>
      <c r="G127" s="73" t="s">
        <v>1148</v>
      </c>
      <c r="H127" s="73" t="s">
        <v>1149</v>
      </c>
      <c r="I127" s="73" t="s">
        <v>1150</v>
      </c>
      <c r="J127" s="73"/>
      <c r="K127" s="73"/>
      <c r="L127" s="89" t="s">
        <v>126</v>
      </c>
      <c r="M127" s="53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42">
      <c r="A128" s="84" t="s">
        <v>1151</v>
      </c>
      <c r="B128" s="73" t="s">
        <v>32</v>
      </c>
      <c r="C128" s="73" t="s">
        <v>368</v>
      </c>
      <c r="D128" s="73" t="s">
        <v>1152</v>
      </c>
      <c r="E128" s="73" t="s">
        <v>1153</v>
      </c>
      <c r="F128" s="104" t="s">
        <v>1154</v>
      </c>
      <c r="G128" s="73" t="s">
        <v>1148</v>
      </c>
      <c r="H128" s="73" t="s">
        <v>1155</v>
      </c>
      <c r="I128" s="73" t="s">
        <v>1156</v>
      </c>
      <c r="J128" s="73"/>
      <c r="K128" s="73"/>
      <c r="L128" s="89" t="s">
        <v>126</v>
      </c>
      <c r="M128" s="53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42">
      <c r="A129" s="84" t="s">
        <v>1157</v>
      </c>
      <c r="B129" s="73" t="s">
        <v>32</v>
      </c>
      <c r="C129" s="73" t="s">
        <v>410</v>
      </c>
      <c r="D129" s="73" t="s">
        <v>1158</v>
      </c>
      <c r="E129" s="73" t="s">
        <v>1159</v>
      </c>
      <c r="F129" s="104" t="s">
        <v>1160</v>
      </c>
      <c r="G129" s="73" t="s">
        <v>1141</v>
      </c>
      <c r="H129" s="73" t="s">
        <v>1161</v>
      </c>
      <c r="I129" s="73" t="s">
        <v>1162</v>
      </c>
      <c r="J129" s="73"/>
      <c r="K129" s="73"/>
      <c r="L129" s="89" t="s">
        <v>126</v>
      </c>
      <c r="M129" s="53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42">
      <c r="A130" s="84" t="s">
        <v>1163</v>
      </c>
      <c r="B130" s="73" t="s">
        <v>32</v>
      </c>
      <c r="C130" s="73" t="s">
        <v>368</v>
      </c>
      <c r="D130" s="73" t="s">
        <v>1164</v>
      </c>
      <c r="E130" s="73" t="s">
        <v>1165</v>
      </c>
      <c r="F130" s="104" t="s">
        <v>1166</v>
      </c>
      <c r="G130" s="73" t="s">
        <v>722</v>
      </c>
      <c r="H130" s="73" t="s">
        <v>1167</v>
      </c>
      <c r="I130" s="73" t="s">
        <v>1168</v>
      </c>
      <c r="J130" s="73"/>
      <c r="K130" s="73"/>
      <c r="L130" s="89" t="s">
        <v>126</v>
      </c>
      <c r="M130" s="53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56">
      <c r="A131" s="84" t="s">
        <v>1169</v>
      </c>
      <c r="B131" s="73" t="s">
        <v>32</v>
      </c>
      <c r="C131" s="73" t="s">
        <v>368</v>
      </c>
      <c r="D131" s="73" t="s">
        <v>1170</v>
      </c>
      <c r="E131" s="73" t="s">
        <v>1171</v>
      </c>
      <c r="F131" s="104" t="s">
        <v>1172</v>
      </c>
      <c r="G131" s="73" t="s">
        <v>1173</v>
      </c>
      <c r="H131" s="73" t="s">
        <v>1174</v>
      </c>
      <c r="I131" s="73" t="s">
        <v>1175</v>
      </c>
      <c r="J131" s="73"/>
      <c r="K131" s="73"/>
      <c r="L131" s="89" t="s">
        <v>126</v>
      </c>
      <c r="M131" s="53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42">
      <c r="A132" s="84" t="s">
        <v>1176</v>
      </c>
      <c r="B132" s="73" t="s">
        <v>32</v>
      </c>
      <c r="C132" s="73" t="s">
        <v>368</v>
      </c>
      <c r="D132" s="73" t="s">
        <v>1177</v>
      </c>
      <c r="E132" s="73" t="s">
        <v>1178</v>
      </c>
      <c r="F132" s="104" t="s">
        <v>1179</v>
      </c>
      <c r="G132" s="73" t="s">
        <v>1180</v>
      </c>
      <c r="H132" s="73" t="s">
        <v>1181</v>
      </c>
      <c r="I132" s="73" t="s">
        <v>1182</v>
      </c>
      <c r="J132" s="73"/>
      <c r="K132" s="73"/>
      <c r="L132" s="89" t="s">
        <v>126</v>
      </c>
      <c r="M132" s="53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42">
      <c r="A133" s="84" t="s">
        <v>1183</v>
      </c>
      <c r="B133" s="73" t="s">
        <v>35</v>
      </c>
      <c r="C133" s="73" t="s">
        <v>368</v>
      </c>
      <c r="D133" s="73" t="s">
        <v>38</v>
      </c>
      <c r="E133" s="73" t="s">
        <v>1184</v>
      </c>
      <c r="F133" s="104" t="s">
        <v>1185</v>
      </c>
      <c r="G133" s="73" t="s">
        <v>1186</v>
      </c>
      <c r="H133" s="73" t="s">
        <v>1187</v>
      </c>
      <c r="I133" s="73" t="s">
        <v>1188</v>
      </c>
      <c r="J133" s="73"/>
      <c r="K133" s="73"/>
      <c r="L133" s="89" t="s">
        <v>126</v>
      </c>
      <c r="M133" s="53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42">
      <c r="A134" s="84" t="s">
        <v>1189</v>
      </c>
      <c r="B134" s="73" t="s">
        <v>35</v>
      </c>
      <c r="C134" s="73" t="s">
        <v>368</v>
      </c>
      <c r="D134" s="73" t="s">
        <v>1145</v>
      </c>
      <c r="E134" s="73" t="s">
        <v>1190</v>
      </c>
      <c r="F134" s="104" t="s">
        <v>1191</v>
      </c>
      <c r="G134" s="73" t="s">
        <v>1186</v>
      </c>
      <c r="H134" s="73" t="s">
        <v>1192</v>
      </c>
      <c r="I134" s="73" t="s">
        <v>1193</v>
      </c>
      <c r="J134" s="73"/>
      <c r="K134" s="73"/>
      <c r="L134" s="89" t="s">
        <v>126</v>
      </c>
      <c r="M134" s="53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42">
      <c r="A135" s="84" t="s">
        <v>1194</v>
      </c>
      <c r="B135" s="73" t="s">
        <v>35</v>
      </c>
      <c r="C135" s="73" t="s">
        <v>439</v>
      </c>
      <c r="D135" s="73" t="s">
        <v>1195</v>
      </c>
      <c r="E135" s="73" t="s">
        <v>1196</v>
      </c>
      <c r="F135" s="104" t="s">
        <v>1197</v>
      </c>
      <c r="G135" s="73" t="s">
        <v>1198</v>
      </c>
      <c r="H135" s="73" t="s">
        <v>1199</v>
      </c>
      <c r="I135" s="73" t="s">
        <v>1200</v>
      </c>
      <c r="J135" s="73"/>
      <c r="K135" s="73"/>
      <c r="L135" s="89" t="s">
        <v>126</v>
      </c>
      <c r="M135" s="53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42">
      <c r="A136" s="84" t="s">
        <v>1201</v>
      </c>
      <c r="B136" s="73" t="s">
        <v>35</v>
      </c>
      <c r="C136" s="73" t="s">
        <v>368</v>
      </c>
      <c r="D136" s="73" t="s">
        <v>865</v>
      </c>
      <c r="E136" s="73" t="s">
        <v>1202</v>
      </c>
      <c r="F136" s="104" t="s">
        <v>1203</v>
      </c>
      <c r="G136" s="73" t="s">
        <v>732</v>
      </c>
      <c r="H136" s="73" t="s">
        <v>1204</v>
      </c>
      <c r="I136" s="73" t="s">
        <v>956</v>
      </c>
      <c r="J136" s="73"/>
      <c r="K136" s="73"/>
      <c r="L136" s="89" t="s">
        <v>126</v>
      </c>
      <c r="M136" s="53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56">
      <c r="A137" s="84" t="s">
        <v>1205</v>
      </c>
      <c r="B137" s="73" t="s">
        <v>35</v>
      </c>
      <c r="C137" s="73" t="s">
        <v>368</v>
      </c>
      <c r="D137" s="73" t="s">
        <v>1206</v>
      </c>
      <c r="E137" s="73" t="s">
        <v>1207</v>
      </c>
      <c r="F137" s="104" t="s">
        <v>1208</v>
      </c>
      <c r="G137" s="73" t="s">
        <v>1209</v>
      </c>
      <c r="H137" s="73" t="s">
        <v>1210</v>
      </c>
      <c r="I137" s="73" t="s">
        <v>1211</v>
      </c>
      <c r="J137" s="73"/>
      <c r="K137" s="73"/>
      <c r="L137" s="89" t="s">
        <v>126</v>
      </c>
      <c r="M137" s="53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56">
      <c r="A138" s="84" t="s">
        <v>1212</v>
      </c>
      <c r="B138" s="73" t="s">
        <v>35</v>
      </c>
      <c r="C138" s="73" t="s">
        <v>368</v>
      </c>
      <c r="D138" s="73" t="s">
        <v>1213</v>
      </c>
      <c r="E138" s="73" t="s">
        <v>1214</v>
      </c>
      <c r="F138" s="104" t="s">
        <v>1215</v>
      </c>
      <c r="G138" s="73" t="s">
        <v>1216</v>
      </c>
      <c r="H138" s="73" t="s">
        <v>1217</v>
      </c>
      <c r="I138" s="73" t="s">
        <v>1218</v>
      </c>
      <c r="J138" s="73"/>
      <c r="K138" s="73"/>
      <c r="L138" s="89" t="s">
        <v>126</v>
      </c>
      <c r="M138" s="53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42">
      <c r="A139" s="84" t="s">
        <v>1219</v>
      </c>
      <c r="B139" s="73" t="s">
        <v>35</v>
      </c>
      <c r="C139" s="73" t="s">
        <v>368</v>
      </c>
      <c r="D139" s="73" t="s">
        <v>1220</v>
      </c>
      <c r="E139" s="73" t="s">
        <v>1221</v>
      </c>
      <c r="F139" s="104" t="s">
        <v>1222</v>
      </c>
      <c r="G139" s="73" t="s">
        <v>1223</v>
      </c>
      <c r="H139" s="73" t="s">
        <v>1224</v>
      </c>
      <c r="I139" s="73" t="s">
        <v>1225</v>
      </c>
      <c r="J139" s="73"/>
      <c r="K139" s="73"/>
      <c r="L139" s="89" t="s">
        <v>126</v>
      </c>
      <c r="M139" s="53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42">
      <c r="A140" s="84" t="s">
        <v>1226</v>
      </c>
      <c r="B140" s="73" t="s">
        <v>35</v>
      </c>
      <c r="C140" s="73" t="s">
        <v>368</v>
      </c>
      <c r="D140" s="73" t="s">
        <v>1227</v>
      </c>
      <c r="E140" s="73" t="s">
        <v>1228</v>
      </c>
      <c r="F140" s="104" t="s">
        <v>1229</v>
      </c>
      <c r="G140" s="73" t="s">
        <v>1230</v>
      </c>
      <c r="H140" s="73" t="s">
        <v>1231</v>
      </c>
      <c r="I140" s="73" t="s">
        <v>1232</v>
      </c>
      <c r="J140" s="73"/>
      <c r="K140" s="73"/>
      <c r="L140" s="89" t="s">
        <v>126</v>
      </c>
      <c r="M140" s="53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42">
      <c r="A141" s="84" t="s">
        <v>1233</v>
      </c>
      <c r="B141" s="73" t="s">
        <v>35</v>
      </c>
      <c r="C141" s="73" t="s">
        <v>368</v>
      </c>
      <c r="D141" s="73" t="s">
        <v>41</v>
      </c>
      <c r="E141" s="73" t="s">
        <v>1234</v>
      </c>
      <c r="F141" s="104" t="s">
        <v>1235</v>
      </c>
      <c r="G141" s="73" t="s">
        <v>1186</v>
      </c>
      <c r="H141" s="73" t="s">
        <v>1236</v>
      </c>
      <c r="I141" s="73" t="s">
        <v>1237</v>
      </c>
      <c r="J141" s="73"/>
      <c r="K141" s="73"/>
      <c r="L141" s="89" t="s">
        <v>126</v>
      </c>
      <c r="M141" s="53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42">
      <c r="A142" s="84" t="s">
        <v>1238</v>
      </c>
      <c r="B142" s="73" t="s">
        <v>35</v>
      </c>
      <c r="C142" s="73" t="s">
        <v>368</v>
      </c>
      <c r="D142" s="73" t="s">
        <v>1239</v>
      </c>
      <c r="E142" s="73" t="s">
        <v>1240</v>
      </c>
      <c r="F142" s="104" t="s">
        <v>1241</v>
      </c>
      <c r="G142" s="73" t="s">
        <v>1145</v>
      </c>
      <c r="H142" s="73" t="s">
        <v>1242</v>
      </c>
      <c r="I142" s="73" t="s">
        <v>1243</v>
      </c>
      <c r="J142" s="73"/>
      <c r="K142" s="73"/>
      <c r="L142" s="89" t="s">
        <v>126</v>
      </c>
      <c r="M142" s="53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42">
      <c r="A143" s="84" t="s">
        <v>1244</v>
      </c>
      <c r="B143" s="73" t="s">
        <v>35</v>
      </c>
      <c r="C143" s="73" t="s">
        <v>410</v>
      </c>
      <c r="D143" s="73" t="s">
        <v>809</v>
      </c>
      <c r="E143" s="73" t="s">
        <v>1245</v>
      </c>
      <c r="F143" s="104" t="s">
        <v>1246</v>
      </c>
      <c r="G143" s="73" t="s">
        <v>1247</v>
      </c>
      <c r="H143" s="73" t="s">
        <v>1248</v>
      </c>
      <c r="I143" s="73" t="s">
        <v>1249</v>
      </c>
      <c r="J143" s="73"/>
      <c r="K143" s="73"/>
      <c r="L143" s="89" t="s">
        <v>126</v>
      </c>
      <c r="M143" s="53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42">
      <c r="A144" s="84" t="s">
        <v>1250</v>
      </c>
      <c r="B144" s="73" t="s">
        <v>35</v>
      </c>
      <c r="C144" s="73" t="s">
        <v>410</v>
      </c>
      <c r="D144" s="73" t="s">
        <v>1251</v>
      </c>
      <c r="E144" s="73" t="s">
        <v>1252</v>
      </c>
      <c r="F144" s="104" t="s">
        <v>1253</v>
      </c>
      <c r="G144" s="73" t="s">
        <v>1254</v>
      </c>
      <c r="H144" s="73" t="s">
        <v>1255</v>
      </c>
      <c r="I144" s="73" t="s">
        <v>1256</v>
      </c>
      <c r="J144" s="73"/>
      <c r="K144" s="73"/>
      <c r="L144" s="89" t="s">
        <v>126</v>
      </c>
      <c r="M144" s="53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56">
      <c r="A145" s="84" t="s">
        <v>1257</v>
      </c>
      <c r="B145" s="73" t="s">
        <v>35</v>
      </c>
      <c r="C145" s="73" t="s">
        <v>410</v>
      </c>
      <c r="D145" s="73" t="s">
        <v>1258</v>
      </c>
      <c r="E145" s="73" t="s">
        <v>1259</v>
      </c>
      <c r="F145" s="104" t="s">
        <v>1260</v>
      </c>
      <c r="G145" s="73" t="s">
        <v>1198</v>
      </c>
      <c r="H145" s="73" t="s">
        <v>1261</v>
      </c>
      <c r="I145" s="73" t="s">
        <v>1262</v>
      </c>
      <c r="J145" s="73"/>
      <c r="K145" s="73"/>
      <c r="L145" s="89" t="s">
        <v>126</v>
      </c>
      <c r="M145" s="53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42">
      <c r="A146" s="84" t="s">
        <v>1263</v>
      </c>
      <c r="B146" s="73" t="s">
        <v>35</v>
      </c>
      <c r="C146" s="73" t="s">
        <v>368</v>
      </c>
      <c r="D146" s="73" t="s">
        <v>1264</v>
      </c>
      <c r="E146" s="73" t="s">
        <v>1265</v>
      </c>
      <c r="F146" s="104" t="s">
        <v>1266</v>
      </c>
      <c r="G146" s="73" t="s">
        <v>1186</v>
      </c>
      <c r="H146" s="73" t="s">
        <v>1267</v>
      </c>
      <c r="I146" s="73" t="s">
        <v>1268</v>
      </c>
      <c r="J146" s="73"/>
      <c r="K146" s="73"/>
      <c r="L146" s="89" t="s">
        <v>126</v>
      </c>
      <c r="M146" s="53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56">
      <c r="A147" s="84" t="s">
        <v>1269</v>
      </c>
      <c r="B147" s="73" t="s">
        <v>35</v>
      </c>
      <c r="C147" s="73" t="s">
        <v>368</v>
      </c>
      <c r="D147" s="73" t="s">
        <v>1270</v>
      </c>
      <c r="E147" s="73" t="s">
        <v>1271</v>
      </c>
      <c r="F147" s="104" t="s">
        <v>1272</v>
      </c>
      <c r="G147" s="73" t="s">
        <v>1186</v>
      </c>
      <c r="H147" s="73" t="s">
        <v>1273</v>
      </c>
      <c r="I147" s="73" t="s">
        <v>1274</v>
      </c>
      <c r="J147" s="73"/>
      <c r="K147" s="73"/>
      <c r="L147" s="89" t="s">
        <v>126</v>
      </c>
      <c r="M147" s="53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56">
      <c r="A148" s="84" t="s">
        <v>1275</v>
      </c>
      <c r="B148" s="73" t="s">
        <v>35</v>
      </c>
      <c r="C148" s="73" t="s">
        <v>53</v>
      </c>
      <c r="D148" s="73" t="s">
        <v>1276</v>
      </c>
      <c r="E148" s="73" t="s">
        <v>1277</v>
      </c>
      <c r="F148" s="104" t="s">
        <v>1278</v>
      </c>
      <c r="G148" s="73" t="s">
        <v>938</v>
      </c>
      <c r="H148" s="73" t="s">
        <v>1279</v>
      </c>
      <c r="I148" s="73" t="s">
        <v>1280</v>
      </c>
      <c r="J148" s="73"/>
      <c r="K148" s="73"/>
      <c r="L148" s="89" t="s">
        <v>126</v>
      </c>
      <c r="M148" s="53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56">
      <c r="A149" s="84" t="s">
        <v>1281</v>
      </c>
      <c r="B149" s="73" t="s">
        <v>35</v>
      </c>
      <c r="C149" s="73" t="s">
        <v>53</v>
      </c>
      <c r="D149" s="73" t="s">
        <v>1282</v>
      </c>
      <c r="E149" s="73" t="s">
        <v>1283</v>
      </c>
      <c r="F149" s="104" t="s">
        <v>1284</v>
      </c>
      <c r="G149" s="73" t="s">
        <v>550</v>
      </c>
      <c r="H149" s="73" t="s">
        <v>1285</v>
      </c>
      <c r="I149" s="73" t="s">
        <v>1286</v>
      </c>
      <c r="J149" s="73"/>
      <c r="K149" s="73"/>
      <c r="L149" s="89" t="s">
        <v>126</v>
      </c>
      <c r="M149" s="53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42">
      <c r="A150" s="84" t="s">
        <v>1287</v>
      </c>
      <c r="B150" s="73" t="s">
        <v>44</v>
      </c>
      <c r="C150" s="73" t="s">
        <v>368</v>
      </c>
      <c r="D150" s="73" t="s">
        <v>1288</v>
      </c>
      <c r="E150" s="73" t="s">
        <v>1289</v>
      </c>
      <c r="F150" s="104" t="s">
        <v>1290</v>
      </c>
      <c r="G150" s="73" t="s">
        <v>1291</v>
      </c>
      <c r="H150" s="73" t="s">
        <v>1292</v>
      </c>
      <c r="I150" s="73" t="s">
        <v>1293</v>
      </c>
      <c r="J150" s="73"/>
      <c r="K150" s="73"/>
      <c r="L150" s="89" t="s">
        <v>126</v>
      </c>
      <c r="M150" s="51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28">
      <c r="A151" s="84" t="s">
        <v>1294</v>
      </c>
      <c r="B151" s="73" t="s">
        <v>44</v>
      </c>
      <c r="C151" s="73" t="s">
        <v>368</v>
      </c>
      <c r="D151" s="73" t="s">
        <v>1295</v>
      </c>
      <c r="E151" s="73" t="s">
        <v>1296</v>
      </c>
      <c r="F151" s="104" t="s">
        <v>1297</v>
      </c>
      <c r="G151" s="73" t="s">
        <v>1298</v>
      </c>
      <c r="H151" s="73" t="s">
        <v>1299</v>
      </c>
      <c r="I151" s="73" t="s">
        <v>1300</v>
      </c>
      <c r="J151" s="73"/>
      <c r="K151" s="73"/>
      <c r="L151" s="89" t="s">
        <v>126</v>
      </c>
      <c r="M151" s="51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28">
      <c r="A152" s="84" t="s">
        <v>1301</v>
      </c>
      <c r="B152" s="73" t="s">
        <v>44</v>
      </c>
      <c r="C152" s="73" t="s">
        <v>368</v>
      </c>
      <c r="D152" s="73" t="s">
        <v>1302</v>
      </c>
      <c r="E152" s="73" t="s">
        <v>1303</v>
      </c>
      <c r="F152" s="104" t="s">
        <v>1304</v>
      </c>
      <c r="G152" s="73" t="s">
        <v>1305</v>
      </c>
      <c r="H152" s="73" t="s">
        <v>1306</v>
      </c>
      <c r="I152" s="73" t="s">
        <v>1307</v>
      </c>
      <c r="J152" s="73"/>
      <c r="K152" s="73"/>
      <c r="L152" s="89" t="s">
        <v>126</v>
      </c>
      <c r="M152" s="51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28">
      <c r="A153" s="84" t="s">
        <v>1308</v>
      </c>
      <c r="B153" s="73" t="s">
        <v>44</v>
      </c>
      <c r="C153" s="73" t="s">
        <v>368</v>
      </c>
      <c r="D153" s="73" t="s">
        <v>1309</v>
      </c>
      <c r="E153" s="73" t="s">
        <v>1310</v>
      </c>
      <c r="F153" s="104" t="s">
        <v>1304</v>
      </c>
      <c r="G153" s="73" t="s">
        <v>1311</v>
      </c>
      <c r="H153" s="73" t="s">
        <v>1312</v>
      </c>
      <c r="I153" s="73" t="s">
        <v>1313</v>
      </c>
      <c r="J153" s="73"/>
      <c r="K153" s="73"/>
      <c r="L153" s="89" t="s">
        <v>126</v>
      </c>
      <c r="M153" s="51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28">
      <c r="A154" s="84" t="s">
        <v>1314</v>
      </c>
      <c r="B154" s="73" t="s">
        <v>44</v>
      </c>
      <c r="C154" s="73" t="s">
        <v>368</v>
      </c>
      <c r="D154" s="73" t="s">
        <v>1315</v>
      </c>
      <c r="E154" s="73" t="s">
        <v>1316</v>
      </c>
      <c r="F154" s="104" t="s">
        <v>1317</v>
      </c>
      <c r="G154" s="73" t="s">
        <v>1318</v>
      </c>
      <c r="H154" s="73" t="s">
        <v>1319</v>
      </c>
      <c r="I154" s="73" t="s">
        <v>1320</v>
      </c>
      <c r="J154" s="73"/>
      <c r="K154" s="73"/>
      <c r="L154" s="89" t="s">
        <v>126</v>
      </c>
      <c r="M154" s="51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28">
      <c r="A155" s="84" t="s">
        <v>1321</v>
      </c>
      <c r="B155" s="73" t="s">
        <v>44</v>
      </c>
      <c r="C155" s="73" t="s">
        <v>368</v>
      </c>
      <c r="D155" s="73" t="s">
        <v>1322</v>
      </c>
      <c r="E155" s="73" t="s">
        <v>1323</v>
      </c>
      <c r="F155" s="104" t="s">
        <v>1324</v>
      </c>
      <c r="G155" s="73" t="s">
        <v>1325</v>
      </c>
      <c r="H155" s="73" t="s">
        <v>1326</v>
      </c>
      <c r="I155" s="73" t="s">
        <v>1327</v>
      </c>
      <c r="J155" s="73"/>
      <c r="K155" s="73"/>
      <c r="L155" s="89" t="s">
        <v>126</v>
      </c>
      <c r="M155" s="51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28">
      <c r="A156" s="84" t="s">
        <v>1328</v>
      </c>
      <c r="B156" s="73" t="s">
        <v>44</v>
      </c>
      <c r="C156" s="73" t="s">
        <v>368</v>
      </c>
      <c r="D156" s="73" t="s">
        <v>1329</v>
      </c>
      <c r="E156" s="73" t="s">
        <v>1330</v>
      </c>
      <c r="F156" s="104" t="s">
        <v>1331</v>
      </c>
      <c r="G156" s="73" t="s">
        <v>1332</v>
      </c>
      <c r="H156" s="73" t="s">
        <v>1333</v>
      </c>
      <c r="I156" s="73" t="s">
        <v>1334</v>
      </c>
      <c r="J156" s="73"/>
      <c r="K156" s="73"/>
      <c r="L156" s="89" t="s">
        <v>126</v>
      </c>
      <c r="M156" s="51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28">
      <c r="A157" s="84" t="s">
        <v>1335</v>
      </c>
      <c r="B157" s="73" t="s">
        <v>44</v>
      </c>
      <c r="C157" s="73" t="s">
        <v>368</v>
      </c>
      <c r="D157" s="73" t="s">
        <v>1336</v>
      </c>
      <c r="E157" s="73" t="s">
        <v>1337</v>
      </c>
      <c r="F157" s="104" t="s">
        <v>1338</v>
      </c>
      <c r="G157" s="73" t="s">
        <v>1339</v>
      </c>
      <c r="H157" s="73" t="s">
        <v>1340</v>
      </c>
      <c r="I157" s="73" t="s">
        <v>1341</v>
      </c>
      <c r="J157" s="73"/>
      <c r="K157" s="73"/>
      <c r="L157" s="89" t="s">
        <v>126</v>
      </c>
      <c r="M157" s="51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28">
      <c r="A158" s="84" t="s">
        <v>1342</v>
      </c>
      <c r="B158" s="73" t="s">
        <v>44</v>
      </c>
      <c r="C158" s="73" t="s">
        <v>368</v>
      </c>
      <c r="D158" s="73" t="s">
        <v>1343</v>
      </c>
      <c r="E158" s="73" t="s">
        <v>1344</v>
      </c>
      <c r="F158" s="104" t="s">
        <v>1345</v>
      </c>
      <c r="G158" s="73" t="s">
        <v>1346</v>
      </c>
      <c r="H158" s="73" t="s">
        <v>1347</v>
      </c>
      <c r="I158" s="73" t="s">
        <v>1348</v>
      </c>
      <c r="J158" s="73"/>
      <c r="K158" s="73"/>
      <c r="L158" s="89" t="s">
        <v>126</v>
      </c>
      <c r="M158" s="51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42">
      <c r="A159" s="84" t="s">
        <v>1349</v>
      </c>
      <c r="B159" s="73" t="s">
        <v>44</v>
      </c>
      <c r="C159" s="73" t="s">
        <v>410</v>
      </c>
      <c r="D159" s="73" t="s">
        <v>1350</v>
      </c>
      <c r="E159" s="73" t="s">
        <v>1351</v>
      </c>
      <c r="F159" s="104" t="s">
        <v>1352</v>
      </c>
      <c r="G159" s="73" t="s">
        <v>1353</v>
      </c>
      <c r="H159" s="73" t="s">
        <v>1354</v>
      </c>
      <c r="I159" s="73" t="s">
        <v>1355</v>
      </c>
      <c r="J159" s="73"/>
      <c r="K159" s="73"/>
      <c r="L159" s="89" t="s">
        <v>126</v>
      </c>
      <c r="M159" s="51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42">
      <c r="A160" s="84" t="s">
        <v>1356</v>
      </c>
      <c r="B160" s="73" t="s">
        <v>44</v>
      </c>
      <c r="C160" s="73" t="s">
        <v>410</v>
      </c>
      <c r="D160" s="73" t="s">
        <v>1357</v>
      </c>
      <c r="E160" s="73" t="s">
        <v>1358</v>
      </c>
      <c r="F160" s="104" t="s">
        <v>1359</v>
      </c>
      <c r="G160" s="73" t="s">
        <v>1360</v>
      </c>
      <c r="H160" s="73" t="s">
        <v>1361</v>
      </c>
      <c r="I160" s="73" t="s">
        <v>1362</v>
      </c>
      <c r="J160" s="73"/>
      <c r="K160" s="73"/>
      <c r="L160" s="89" t="s">
        <v>126</v>
      </c>
      <c r="M160" s="51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42">
      <c r="A161" s="84" t="s">
        <v>1363</v>
      </c>
      <c r="B161" s="73" t="s">
        <v>44</v>
      </c>
      <c r="C161" s="73" t="s">
        <v>53</v>
      </c>
      <c r="D161" s="73" t="s">
        <v>1364</v>
      </c>
      <c r="E161" s="73" t="s">
        <v>1365</v>
      </c>
      <c r="F161" s="104" t="s">
        <v>1366</v>
      </c>
      <c r="G161" s="73" t="s">
        <v>1367</v>
      </c>
      <c r="H161" s="73" t="s">
        <v>1368</v>
      </c>
      <c r="I161" s="73" t="s">
        <v>1369</v>
      </c>
      <c r="J161" s="73"/>
      <c r="K161" s="73"/>
      <c r="L161" s="89" t="s">
        <v>126</v>
      </c>
      <c r="M161" s="51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28">
      <c r="A162" s="84" t="s">
        <v>1370</v>
      </c>
      <c r="B162" s="84" t="s">
        <v>20</v>
      </c>
      <c r="C162" s="84" t="s">
        <v>368</v>
      </c>
      <c r="D162" s="84" t="s">
        <v>58</v>
      </c>
      <c r="E162" s="85" t="s">
        <v>1371</v>
      </c>
      <c r="F162" s="86" t="s">
        <v>1372</v>
      </c>
      <c r="G162" s="100" t="s">
        <v>1373</v>
      </c>
      <c r="H162" s="85" t="s">
        <v>1374</v>
      </c>
      <c r="I162" s="85" t="s">
        <v>1375</v>
      </c>
      <c r="J162" s="106"/>
      <c r="K162" s="107"/>
      <c r="L162" s="89" t="s">
        <v>126</v>
      </c>
      <c r="M162" s="51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28">
      <c r="A163" s="84" t="s">
        <v>1376</v>
      </c>
      <c r="B163" s="84" t="s">
        <v>20</v>
      </c>
      <c r="C163" s="84" t="s">
        <v>368</v>
      </c>
      <c r="D163" s="84" t="s">
        <v>612</v>
      </c>
      <c r="E163" s="85" t="s">
        <v>1377</v>
      </c>
      <c r="F163" s="86" t="s">
        <v>1378</v>
      </c>
      <c r="G163" s="100" t="s">
        <v>1379</v>
      </c>
      <c r="H163" s="85" t="s">
        <v>1380</v>
      </c>
      <c r="I163" s="85" t="s">
        <v>1381</v>
      </c>
      <c r="J163" s="106"/>
      <c r="K163" s="107"/>
      <c r="L163" s="89" t="s">
        <v>126</v>
      </c>
      <c r="M163" s="51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28">
      <c r="A164" s="84" t="s">
        <v>1382</v>
      </c>
      <c r="B164" s="84" t="s">
        <v>20</v>
      </c>
      <c r="C164" s="84" t="s">
        <v>368</v>
      </c>
      <c r="D164" s="84" t="s">
        <v>1383</v>
      </c>
      <c r="E164" s="85" t="s">
        <v>1384</v>
      </c>
      <c r="F164" s="86" t="s">
        <v>1385</v>
      </c>
      <c r="G164" s="100" t="s">
        <v>1386</v>
      </c>
      <c r="H164" s="85" t="s">
        <v>1387</v>
      </c>
      <c r="I164" s="85" t="s">
        <v>1388</v>
      </c>
      <c r="J164" s="106"/>
      <c r="K164" s="107"/>
      <c r="L164" s="89" t="s">
        <v>126</v>
      </c>
      <c r="M164" s="51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42">
      <c r="A165" s="84" t="s">
        <v>1389</v>
      </c>
      <c r="B165" s="84" t="s">
        <v>20</v>
      </c>
      <c r="C165" s="84" t="s">
        <v>368</v>
      </c>
      <c r="D165" s="84" t="s">
        <v>1390</v>
      </c>
      <c r="E165" s="85" t="s">
        <v>1391</v>
      </c>
      <c r="F165" s="86" t="s">
        <v>1392</v>
      </c>
      <c r="G165" s="100" t="s">
        <v>1379</v>
      </c>
      <c r="H165" s="85" t="s">
        <v>1393</v>
      </c>
      <c r="I165" s="85" t="s">
        <v>1394</v>
      </c>
      <c r="J165" s="106"/>
      <c r="K165" s="107"/>
      <c r="L165" s="89" t="s">
        <v>126</v>
      </c>
      <c r="M165" s="51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28">
      <c r="A166" s="84" t="s">
        <v>1395</v>
      </c>
      <c r="B166" s="84" t="s">
        <v>20</v>
      </c>
      <c r="C166" s="84" t="s">
        <v>368</v>
      </c>
      <c r="D166" s="84" t="s">
        <v>469</v>
      </c>
      <c r="E166" s="85" t="s">
        <v>1396</v>
      </c>
      <c r="F166" s="86" t="s">
        <v>1397</v>
      </c>
      <c r="G166" s="100" t="s">
        <v>1398</v>
      </c>
      <c r="H166" s="85" t="s">
        <v>1399</v>
      </c>
      <c r="I166" s="85" t="s">
        <v>1400</v>
      </c>
      <c r="J166" s="106"/>
      <c r="K166" s="107"/>
      <c r="L166" s="89" t="s">
        <v>126</v>
      </c>
      <c r="M166" s="51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42">
      <c r="A167" s="84" t="s">
        <v>1401</v>
      </c>
      <c r="B167" s="84" t="s">
        <v>20</v>
      </c>
      <c r="C167" s="84" t="s">
        <v>368</v>
      </c>
      <c r="D167" s="84" t="s">
        <v>476</v>
      </c>
      <c r="E167" s="85" t="s">
        <v>1402</v>
      </c>
      <c r="F167" s="86" t="s">
        <v>1403</v>
      </c>
      <c r="G167" s="100" t="s">
        <v>1404</v>
      </c>
      <c r="H167" s="85" t="s">
        <v>1405</v>
      </c>
      <c r="I167" s="85" t="s">
        <v>481</v>
      </c>
      <c r="J167" s="106"/>
      <c r="K167" s="107"/>
      <c r="L167" s="89" t="s">
        <v>126</v>
      </c>
      <c r="M167" s="51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28">
      <c r="A168" s="84" t="s">
        <v>1406</v>
      </c>
      <c r="B168" s="84" t="s">
        <v>20</v>
      </c>
      <c r="C168" s="84" t="s">
        <v>368</v>
      </c>
      <c r="D168" s="84" t="s">
        <v>1407</v>
      </c>
      <c r="E168" s="85" t="s">
        <v>1408</v>
      </c>
      <c r="F168" s="86" t="s">
        <v>1409</v>
      </c>
      <c r="G168" s="100" t="s">
        <v>1410</v>
      </c>
      <c r="H168" s="85" t="s">
        <v>1411</v>
      </c>
      <c r="I168" s="85" t="s">
        <v>1412</v>
      </c>
      <c r="J168" s="106"/>
      <c r="K168" s="107"/>
      <c r="L168" s="89" t="s">
        <v>126</v>
      </c>
      <c r="M168" s="51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28">
      <c r="A169" s="84" t="s">
        <v>1413</v>
      </c>
      <c r="B169" s="84" t="s">
        <v>20</v>
      </c>
      <c r="C169" s="84" t="s">
        <v>368</v>
      </c>
      <c r="D169" s="84" t="s">
        <v>1414</v>
      </c>
      <c r="E169" s="85" t="s">
        <v>1415</v>
      </c>
      <c r="F169" s="86" t="s">
        <v>1416</v>
      </c>
      <c r="G169" s="100" t="s">
        <v>1417</v>
      </c>
      <c r="H169" s="85" t="s">
        <v>1418</v>
      </c>
      <c r="I169" s="85" t="s">
        <v>1419</v>
      </c>
      <c r="J169" s="106"/>
      <c r="K169" s="107"/>
      <c r="L169" s="89" t="s">
        <v>126</v>
      </c>
      <c r="M169" s="51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28">
      <c r="A170" s="84" t="s">
        <v>1420</v>
      </c>
      <c r="B170" s="84" t="s">
        <v>20</v>
      </c>
      <c r="C170" s="84" t="s">
        <v>368</v>
      </c>
      <c r="D170" s="84" t="s">
        <v>1421</v>
      </c>
      <c r="E170" s="85" t="s">
        <v>1422</v>
      </c>
      <c r="F170" s="86" t="s">
        <v>1423</v>
      </c>
      <c r="G170" s="100" t="s">
        <v>1424</v>
      </c>
      <c r="H170" s="85" t="s">
        <v>1425</v>
      </c>
      <c r="I170" s="85" t="s">
        <v>1426</v>
      </c>
      <c r="J170" s="106"/>
      <c r="K170" s="107"/>
      <c r="L170" s="89" t="s">
        <v>126</v>
      </c>
      <c r="M170" s="51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28">
      <c r="A171" s="84" t="s">
        <v>1427</v>
      </c>
      <c r="B171" s="84" t="s">
        <v>20</v>
      </c>
      <c r="C171" s="84" t="s">
        <v>1428</v>
      </c>
      <c r="D171" s="84" t="s">
        <v>1429</v>
      </c>
      <c r="E171" s="85" t="s">
        <v>1430</v>
      </c>
      <c r="F171" s="86" t="s">
        <v>1431</v>
      </c>
      <c r="G171" s="100" t="s">
        <v>1432</v>
      </c>
      <c r="H171" s="85" t="s">
        <v>1433</v>
      </c>
      <c r="I171" s="85" t="s">
        <v>1434</v>
      </c>
      <c r="J171" s="106"/>
      <c r="K171" s="107"/>
      <c r="L171" s="89" t="s">
        <v>126</v>
      </c>
      <c r="M171" s="51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28">
      <c r="A172" s="84" t="s">
        <v>1435</v>
      </c>
      <c r="B172" s="84" t="s">
        <v>20</v>
      </c>
      <c r="C172" s="84" t="s">
        <v>368</v>
      </c>
      <c r="D172" s="84" t="s">
        <v>1436</v>
      </c>
      <c r="E172" s="85" t="s">
        <v>1437</v>
      </c>
      <c r="F172" s="86" t="s">
        <v>1438</v>
      </c>
      <c r="G172" s="100" t="s">
        <v>1439</v>
      </c>
      <c r="H172" s="85" t="s">
        <v>1440</v>
      </c>
      <c r="I172" s="85" t="s">
        <v>1441</v>
      </c>
      <c r="J172" s="106"/>
      <c r="K172" s="107"/>
      <c r="L172" s="89" t="s">
        <v>126</v>
      </c>
      <c r="M172" s="51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28">
      <c r="A173" s="84" t="s">
        <v>1442</v>
      </c>
      <c r="B173" s="84" t="s">
        <v>20</v>
      </c>
      <c r="C173" s="84" t="s">
        <v>368</v>
      </c>
      <c r="D173" s="84" t="s">
        <v>1443</v>
      </c>
      <c r="E173" s="85" t="s">
        <v>1444</v>
      </c>
      <c r="F173" s="86" t="s">
        <v>1445</v>
      </c>
      <c r="G173" s="100" t="s">
        <v>1446</v>
      </c>
      <c r="H173" s="85" t="s">
        <v>1447</v>
      </c>
      <c r="I173" s="85" t="s">
        <v>1448</v>
      </c>
      <c r="J173" s="106"/>
      <c r="K173" s="107"/>
      <c r="L173" s="89" t="s">
        <v>126</v>
      </c>
      <c r="M173" s="51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42">
      <c r="A174" s="84" t="s">
        <v>1449</v>
      </c>
      <c r="B174" s="84" t="s">
        <v>20</v>
      </c>
      <c r="C174" s="84" t="s">
        <v>368</v>
      </c>
      <c r="D174" s="84" t="s">
        <v>1450</v>
      </c>
      <c r="E174" s="85" t="s">
        <v>1451</v>
      </c>
      <c r="F174" s="86" t="s">
        <v>1452</v>
      </c>
      <c r="G174" s="100" t="s">
        <v>1453</v>
      </c>
      <c r="H174" s="85" t="s">
        <v>1454</v>
      </c>
      <c r="I174" s="85" t="s">
        <v>1455</v>
      </c>
      <c r="J174" s="106"/>
      <c r="K174" s="107"/>
      <c r="L174" s="89" t="s">
        <v>126</v>
      </c>
      <c r="M174" s="51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42">
      <c r="A175" s="84" t="s">
        <v>1456</v>
      </c>
      <c r="B175" s="84" t="s">
        <v>20</v>
      </c>
      <c r="C175" s="84" t="s">
        <v>410</v>
      </c>
      <c r="D175" s="84" t="s">
        <v>1457</v>
      </c>
      <c r="E175" s="85" t="s">
        <v>1458</v>
      </c>
      <c r="F175" s="86" t="s">
        <v>1459</v>
      </c>
      <c r="G175" s="108" t="s">
        <v>1460</v>
      </c>
      <c r="H175" s="85" t="s">
        <v>1461</v>
      </c>
      <c r="I175" s="85" t="s">
        <v>1462</v>
      </c>
      <c r="J175" s="106"/>
      <c r="K175" s="107" t="s">
        <v>1463</v>
      </c>
      <c r="L175" s="89" t="s">
        <v>126</v>
      </c>
      <c r="M175" s="51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42">
      <c r="A176" s="84" t="s">
        <v>1464</v>
      </c>
      <c r="B176" s="84" t="s">
        <v>20</v>
      </c>
      <c r="C176" s="84" t="s">
        <v>410</v>
      </c>
      <c r="D176" s="84" t="s">
        <v>1465</v>
      </c>
      <c r="E176" s="85" t="s">
        <v>1466</v>
      </c>
      <c r="F176" s="86" t="s">
        <v>1467</v>
      </c>
      <c r="G176" s="100" t="s">
        <v>1468</v>
      </c>
      <c r="H176" s="85" t="s">
        <v>1469</v>
      </c>
      <c r="I176" s="85" t="s">
        <v>1462</v>
      </c>
      <c r="J176" s="106"/>
      <c r="K176" s="107" t="s">
        <v>1463</v>
      </c>
      <c r="L176" s="89" t="s">
        <v>126</v>
      </c>
      <c r="M176" s="51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42">
      <c r="A177" s="84" t="s">
        <v>1470</v>
      </c>
      <c r="B177" s="84" t="s">
        <v>20</v>
      </c>
      <c r="C177" s="84" t="s">
        <v>410</v>
      </c>
      <c r="D177" s="84" t="s">
        <v>992</v>
      </c>
      <c r="E177" s="85" t="s">
        <v>1471</v>
      </c>
      <c r="F177" s="86" t="s">
        <v>1472</v>
      </c>
      <c r="G177" s="100" t="s">
        <v>1473</v>
      </c>
      <c r="H177" s="85" t="s">
        <v>1474</v>
      </c>
      <c r="I177" s="85" t="s">
        <v>1475</v>
      </c>
      <c r="J177" s="106"/>
      <c r="K177" s="107" t="s">
        <v>1463</v>
      </c>
      <c r="L177" s="89" t="s">
        <v>126</v>
      </c>
      <c r="M177" s="51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42">
      <c r="A178" s="84" t="s">
        <v>1476</v>
      </c>
      <c r="B178" s="84" t="s">
        <v>20</v>
      </c>
      <c r="C178" s="84" t="s">
        <v>410</v>
      </c>
      <c r="D178" s="84" t="s">
        <v>1477</v>
      </c>
      <c r="E178" s="85" t="s">
        <v>1478</v>
      </c>
      <c r="F178" s="86" t="s">
        <v>1479</v>
      </c>
      <c r="G178" s="100" t="s">
        <v>1480</v>
      </c>
      <c r="H178" s="85" t="s">
        <v>1481</v>
      </c>
      <c r="I178" s="85" t="s">
        <v>1475</v>
      </c>
      <c r="J178" s="106"/>
      <c r="K178" s="107" t="s">
        <v>1463</v>
      </c>
      <c r="L178" s="89" t="s">
        <v>126</v>
      </c>
      <c r="M178" s="51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56">
      <c r="A179" s="84" t="s">
        <v>1482</v>
      </c>
      <c r="B179" s="84" t="s">
        <v>20</v>
      </c>
      <c r="C179" s="84" t="s">
        <v>1428</v>
      </c>
      <c r="D179" s="85" t="s">
        <v>1483</v>
      </c>
      <c r="E179" s="85" t="s">
        <v>1484</v>
      </c>
      <c r="F179" s="86" t="s">
        <v>1485</v>
      </c>
      <c r="G179" s="100" t="s">
        <v>1486</v>
      </c>
      <c r="H179" s="85" t="s">
        <v>1487</v>
      </c>
      <c r="I179" s="85" t="s">
        <v>1475</v>
      </c>
      <c r="J179" s="106"/>
      <c r="K179" s="107" t="s">
        <v>1463</v>
      </c>
      <c r="L179" s="89" t="s">
        <v>126</v>
      </c>
      <c r="M179" s="51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42">
      <c r="A180" s="84" t="s">
        <v>1488</v>
      </c>
      <c r="B180" s="84" t="s">
        <v>20</v>
      </c>
      <c r="C180" s="84" t="s">
        <v>1428</v>
      </c>
      <c r="D180" s="85" t="s">
        <v>1489</v>
      </c>
      <c r="E180" s="85" t="s">
        <v>1490</v>
      </c>
      <c r="F180" s="86" t="s">
        <v>1491</v>
      </c>
      <c r="G180" s="100" t="s">
        <v>1492</v>
      </c>
      <c r="H180" s="85" t="s">
        <v>1493</v>
      </c>
      <c r="I180" s="85" t="s">
        <v>1475</v>
      </c>
      <c r="J180" s="106"/>
      <c r="K180" s="107" t="s">
        <v>1463</v>
      </c>
      <c r="L180" s="89" t="s">
        <v>126</v>
      </c>
      <c r="M180" s="51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42">
      <c r="A181" s="84" t="s">
        <v>1494</v>
      </c>
      <c r="B181" s="84" t="s">
        <v>20</v>
      </c>
      <c r="C181" s="84" t="s">
        <v>410</v>
      </c>
      <c r="D181" s="85" t="s">
        <v>1495</v>
      </c>
      <c r="E181" s="85" t="s">
        <v>1496</v>
      </c>
      <c r="F181" s="86" t="s">
        <v>1497</v>
      </c>
      <c r="G181" s="100" t="s">
        <v>1498</v>
      </c>
      <c r="H181" s="85" t="s">
        <v>1499</v>
      </c>
      <c r="I181" s="85" t="s">
        <v>1500</v>
      </c>
      <c r="J181" s="106"/>
      <c r="K181" s="107" t="s">
        <v>1463</v>
      </c>
      <c r="L181" s="89" t="s">
        <v>126</v>
      </c>
      <c r="M181" s="51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42">
      <c r="A182" s="84" t="s">
        <v>1501</v>
      </c>
      <c r="B182" s="84" t="s">
        <v>20</v>
      </c>
      <c r="C182" s="84" t="s">
        <v>410</v>
      </c>
      <c r="D182" s="85" t="s">
        <v>1502</v>
      </c>
      <c r="E182" s="85" t="s">
        <v>1503</v>
      </c>
      <c r="F182" s="86" t="s">
        <v>1504</v>
      </c>
      <c r="G182" s="100" t="s">
        <v>1505</v>
      </c>
      <c r="H182" s="85" t="s">
        <v>1506</v>
      </c>
      <c r="I182" s="85" t="s">
        <v>1507</v>
      </c>
      <c r="J182" s="106"/>
      <c r="K182" s="107" t="s">
        <v>1463</v>
      </c>
      <c r="L182" s="89" t="s">
        <v>126</v>
      </c>
      <c r="M182" s="51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56">
      <c r="A183" s="84" t="s">
        <v>1508</v>
      </c>
      <c r="B183" s="84" t="s">
        <v>20</v>
      </c>
      <c r="C183" s="84" t="s">
        <v>1509</v>
      </c>
      <c r="D183" s="85" t="s">
        <v>1510</v>
      </c>
      <c r="E183" s="85" t="s">
        <v>1511</v>
      </c>
      <c r="F183" s="86" t="s">
        <v>1512</v>
      </c>
      <c r="G183" s="100" t="s">
        <v>1513</v>
      </c>
      <c r="H183" s="85" t="s">
        <v>1514</v>
      </c>
      <c r="I183" s="85" t="s">
        <v>1515</v>
      </c>
      <c r="J183" s="106"/>
      <c r="K183" s="107" t="s">
        <v>1463</v>
      </c>
      <c r="L183" s="89" t="s">
        <v>126</v>
      </c>
      <c r="M183" s="51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42">
      <c r="A184" s="84" t="s">
        <v>1516</v>
      </c>
      <c r="B184" s="84" t="s">
        <v>20</v>
      </c>
      <c r="C184" s="84" t="s">
        <v>1509</v>
      </c>
      <c r="D184" s="85" t="s">
        <v>1517</v>
      </c>
      <c r="E184" s="85" t="s">
        <v>1518</v>
      </c>
      <c r="F184" s="86" t="s">
        <v>1519</v>
      </c>
      <c r="G184" s="100" t="s">
        <v>1520</v>
      </c>
      <c r="H184" s="85" t="s">
        <v>1521</v>
      </c>
      <c r="I184" s="85" t="s">
        <v>1515</v>
      </c>
      <c r="J184" s="106"/>
      <c r="K184" s="107" t="s">
        <v>1463</v>
      </c>
      <c r="L184" s="89" t="s">
        <v>126</v>
      </c>
      <c r="M184" s="51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42">
      <c r="A185" s="84" t="s">
        <v>1522</v>
      </c>
      <c r="B185" s="84" t="s">
        <v>20</v>
      </c>
      <c r="C185" s="84" t="s">
        <v>410</v>
      </c>
      <c r="D185" s="85" t="s">
        <v>1523</v>
      </c>
      <c r="E185" s="85" t="s">
        <v>1524</v>
      </c>
      <c r="F185" s="86" t="s">
        <v>1525</v>
      </c>
      <c r="G185" s="100" t="s">
        <v>1526</v>
      </c>
      <c r="H185" s="85" t="s">
        <v>1527</v>
      </c>
      <c r="I185" s="85" t="s">
        <v>1528</v>
      </c>
      <c r="J185" s="106"/>
      <c r="K185" s="107" t="s">
        <v>1463</v>
      </c>
      <c r="L185" s="89" t="s">
        <v>126</v>
      </c>
      <c r="M185" s="51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56">
      <c r="A186" s="84" t="s">
        <v>1529</v>
      </c>
      <c r="B186" s="84" t="s">
        <v>20</v>
      </c>
      <c r="C186" s="84" t="s">
        <v>410</v>
      </c>
      <c r="D186" s="85" t="s">
        <v>1530</v>
      </c>
      <c r="E186" s="85" t="s">
        <v>1531</v>
      </c>
      <c r="F186" s="86" t="s">
        <v>1532</v>
      </c>
      <c r="G186" s="100" t="s">
        <v>1533</v>
      </c>
      <c r="H186" s="85" t="s">
        <v>1534</v>
      </c>
      <c r="I186" s="85" t="s">
        <v>1535</v>
      </c>
      <c r="J186" s="106"/>
      <c r="K186" s="107" t="s">
        <v>1463</v>
      </c>
      <c r="L186" s="89" t="s">
        <v>126</v>
      </c>
      <c r="M186" s="51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42">
      <c r="A187" s="84" t="s">
        <v>1536</v>
      </c>
      <c r="B187" s="84" t="s">
        <v>20</v>
      </c>
      <c r="C187" s="84" t="s">
        <v>439</v>
      </c>
      <c r="D187" s="85" t="s">
        <v>1537</v>
      </c>
      <c r="E187" s="85" t="s">
        <v>1538</v>
      </c>
      <c r="F187" s="86" t="s">
        <v>1539</v>
      </c>
      <c r="G187" s="100" t="s">
        <v>1540</v>
      </c>
      <c r="H187" s="85" t="s">
        <v>1541</v>
      </c>
      <c r="I187" s="85" t="s">
        <v>1542</v>
      </c>
      <c r="J187" s="106"/>
      <c r="K187" s="107" t="s">
        <v>1463</v>
      </c>
      <c r="L187" s="89" t="s">
        <v>126</v>
      </c>
      <c r="M187" s="51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56">
      <c r="A188" s="84" t="s">
        <v>1543</v>
      </c>
      <c r="B188" s="85" t="s">
        <v>5</v>
      </c>
      <c r="C188" s="85" t="s">
        <v>1428</v>
      </c>
      <c r="D188" s="85" t="s">
        <v>1544</v>
      </c>
      <c r="E188" s="85" t="s">
        <v>1545</v>
      </c>
      <c r="F188" s="86" t="s">
        <v>1546</v>
      </c>
      <c r="G188" s="100" t="s">
        <v>1547</v>
      </c>
      <c r="H188" s="85" t="s">
        <v>1548</v>
      </c>
      <c r="I188" s="85" t="s">
        <v>1549</v>
      </c>
      <c r="J188" s="106"/>
      <c r="K188" s="107" t="s">
        <v>1463</v>
      </c>
      <c r="L188" s="89" t="s">
        <v>126</v>
      </c>
      <c r="M188" s="51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42">
      <c r="A189" s="84" t="s">
        <v>1550</v>
      </c>
      <c r="B189" s="85" t="s">
        <v>5</v>
      </c>
      <c r="C189" s="85" t="s">
        <v>1428</v>
      </c>
      <c r="D189" s="85" t="s">
        <v>1551</v>
      </c>
      <c r="E189" s="85" t="s">
        <v>1552</v>
      </c>
      <c r="F189" s="86" t="s">
        <v>1553</v>
      </c>
      <c r="G189" s="100" t="s">
        <v>1554</v>
      </c>
      <c r="H189" s="85" t="s">
        <v>1555</v>
      </c>
      <c r="I189" s="85" t="s">
        <v>1556</v>
      </c>
      <c r="J189" s="106"/>
      <c r="K189" s="107" t="s">
        <v>1463</v>
      </c>
      <c r="L189" s="89" t="s">
        <v>126</v>
      </c>
      <c r="M189" s="51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42">
      <c r="A190" s="84" t="s">
        <v>1557</v>
      </c>
      <c r="B190" s="85" t="s">
        <v>5</v>
      </c>
      <c r="C190" s="85" t="s">
        <v>1428</v>
      </c>
      <c r="D190" s="85" t="s">
        <v>1558</v>
      </c>
      <c r="E190" s="85" t="s">
        <v>1559</v>
      </c>
      <c r="F190" s="86" t="s">
        <v>1560</v>
      </c>
      <c r="G190" s="100" t="s">
        <v>1561</v>
      </c>
      <c r="H190" s="85" t="s">
        <v>1562</v>
      </c>
      <c r="I190" s="85" t="s">
        <v>1556</v>
      </c>
      <c r="J190" s="106"/>
      <c r="K190" s="107" t="s">
        <v>1463</v>
      </c>
      <c r="L190" s="89" t="s">
        <v>126</v>
      </c>
      <c r="M190" s="51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56">
      <c r="A191" s="84" t="s">
        <v>1563</v>
      </c>
      <c r="B191" s="85" t="s">
        <v>5</v>
      </c>
      <c r="C191" s="85" t="s">
        <v>410</v>
      </c>
      <c r="D191" s="85" t="s">
        <v>1564</v>
      </c>
      <c r="E191" s="85" t="s">
        <v>1565</v>
      </c>
      <c r="F191" s="86" t="s">
        <v>1566</v>
      </c>
      <c r="G191" s="100" t="s">
        <v>1567</v>
      </c>
      <c r="H191" s="85" t="s">
        <v>1568</v>
      </c>
      <c r="I191" s="85" t="s">
        <v>1569</v>
      </c>
      <c r="J191" s="106"/>
      <c r="K191" s="107" t="s">
        <v>1463</v>
      </c>
      <c r="L191" s="89" t="s">
        <v>126</v>
      </c>
      <c r="M191" s="51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42">
      <c r="A192" s="84" t="s">
        <v>1570</v>
      </c>
      <c r="B192" s="85" t="s">
        <v>5</v>
      </c>
      <c r="C192" s="85" t="s">
        <v>1428</v>
      </c>
      <c r="D192" s="85" t="s">
        <v>1571</v>
      </c>
      <c r="E192" s="85" t="s">
        <v>1572</v>
      </c>
      <c r="F192" s="86" t="s">
        <v>1573</v>
      </c>
      <c r="G192" s="100" t="s">
        <v>1574</v>
      </c>
      <c r="H192" s="85" t="s">
        <v>1575</v>
      </c>
      <c r="I192" s="85" t="s">
        <v>1576</v>
      </c>
      <c r="J192" s="106"/>
      <c r="K192" s="107" t="s">
        <v>1463</v>
      </c>
      <c r="L192" s="89" t="s">
        <v>126</v>
      </c>
      <c r="M192" s="51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42">
      <c r="A193" s="84" t="s">
        <v>1577</v>
      </c>
      <c r="B193" s="85" t="s">
        <v>5</v>
      </c>
      <c r="C193" s="85" t="s">
        <v>410</v>
      </c>
      <c r="D193" s="85" t="s">
        <v>1578</v>
      </c>
      <c r="E193" s="85" t="s">
        <v>1579</v>
      </c>
      <c r="F193" s="86" t="s">
        <v>920</v>
      </c>
      <c r="G193" s="100" t="s">
        <v>1580</v>
      </c>
      <c r="H193" s="85" t="s">
        <v>1581</v>
      </c>
      <c r="I193" s="85" t="s">
        <v>1582</v>
      </c>
      <c r="J193" s="106"/>
      <c r="K193" s="107" t="s">
        <v>1463</v>
      </c>
      <c r="L193" s="91" t="s">
        <v>137</v>
      </c>
      <c r="M193" s="51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42">
      <c r="A194" s="84" t="s">
        <v>1583</v>
      </c>
      <c r="B194" s="85" t="s">
        <v>5</v>
      </c>
      <c r="C194" s="85" t="s">
        <v>1428</v>
      </c>
      <c r="D194" s="85" t="s">
        <v>1584</v>
      </c>
      <c r="E194" s="85" t="s">
        <v>1585</v>
      </c>
      <c r="F194" s="86" t="s">
        <v>1586</v>
      </c>
      <c r="G194" s="100" t="s">
        <v>1587</v>
      </c>
      <c r="H194" s="85" t="s">
        <v>1588</v>
      </c>
      <c r="I194" s="85" t="s">
        <v>1589</v>
      </c>
      <c r="J194" s="106"/>
      <c r="K194" s="107" t="s">
        <v>1463</v>
      </c>
      <c r="L194" s="89" t="s">
        <v>126</v>
      </c>
      <c r="M194" s="51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42">
      <c r="A195" s="84" t="s">
        <v>1590</v>
      </c>
      <c r="B195" s="85" t="s">
        <v>5</v>
      </c>
      <c r="C195" s="85" t="s">
        <v>1428</v>
      </c>
      <c r="D195" s="85" t="s">
        <v>1591</v>
      </c>
      <c r="E195" s="85" t="s">
        <v>1592</v>
      </c>
      <c r="F195" s="86" t="s">
        <v>1593</v>
      </c>
      <c r="G195" s="100" t="s">
        <v>1594</v>
      </c>
      <c r="H195" s="85" t="s">
        <v>1595</v>
      </c>
      <c r="I195" s="85" t="s">
        <v>1596</v>
      </c>
      <c r="J195" s="106"/>
      <c r="K195" s="107" t="s">
        <v>1463</v>
      </c>
      <c r="L195" s="89" t="s">
        <v>126</v>
      </c>
      <c r="M195" s="51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56">
      <c r="A196" s="84" t="s">
        <v>1597</v>
      </c>
      <c r="B196" s="85" t="s">
        <v>5</v>
      </c>
      <c r="C196" s="85" t="s">
        <v>1428</v>
      </c>
      <c r="D196" s="85" t="s">
        <v>1598</v>
      </c>
      <c r="E196" s="85" t="s">
        <v>1599</v>
      </c>
      <c r="F196" s="86" t="s">
        <v>1600</v>
      </c>
      <c r="G196" s="100" t="s">
        <v>1601</v>
      </c>
      <c r="H196" s="85" t="s">
        <v>1602</v>
      </c>
      <c r="I196" s="85" t="s">
        <v>1603</v>
      </c>
      <c r="J196" s="106"/>
      <c r="K196" s="107" t="s">
        <v>1463</v>
      </c>
      <c r="L196" s="91" t="s">
        <v>137</v>
      </c>
      <c r="M196" s="51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56">
      <c r="A197" s="84" t="s">
        <v>1604</v>
      </c>
      <c r="B197" s="85" t="s">
        <v>5</v>
      </c>
      <c r="C197" s="85" t="s">
        <v>1428</v>
      </c>
      <c r="D197" s="85" t="s">
        <v>1605</v>
      </c>
      <c r="E197" s="85" t="s">
        <v>1606</v>
      </c>
      <c r="F197" s="86" t="s">
        <v>1607</v>
      </c>
      <c r="G197" s="100" t="s">
        <v>1608</v>
      </c>
      <c r="H197" s="85" t="s">
        <v>1602</v>
      </c>
      <c r="I197" s="85" t="s">
        <v>1603</v>
      </c>
      <c r="J197" s="106"/>
      <c r="K197" s="107" t="s">
        <v>1463</v>
      </c>
      <c r="L197" s="91" t="s">
        <v>137</v>
      </c>
      <c r="M197" s="51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42">
      <c r="A198" s="84" t="s">
        <v>1609</v>
      </c>
      <c r="B198" s="85" t="s">
        <v>5</v>
      </c>
      <c r="C198" s="85" t="s">
        <v>1610</v>
      </c>
      <c r="D198" s="85" t="s">
        <v>1611</v>
      </c>
      <c r="E198" s="85" t="s">
        <v>1612</v>
      </c>
      <c r="F198" s="86" t="s">
        <v>950</v>
      </c>
      <c r="G198" s="100" t="s">
        <v>1613</v>
      </c>
      <c r="H198" s="85" t="s">
        <v>1614</v>
      </c>
      <c r="I198" s="85" t="s">
        <v>1615</v>
      </c>
      <c r="J198" s="106"/>
      <c r="K198" s="107" t="s">
        <v>1463</v>
      </c>
      <c r="L198" s="91" t="s">
        <v>137</v>
      </c>
      <c r="M198" s="51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42">
      <c r="A199" s="84" t="s">
        <v>1616</v>
      </c>
      <c r="B199" s="85" t="s">
        <v>5</v>
      </c>
      <c r="C199" s="85" t="s">
        <v>1610</v>
      </c>
      <c r="D199" s="85" t="s">
        <v>1617</v>
      </c>
      <c r="E199" s="85" t="s">
        <v>1618</v>
      </c>
      <c r="F199" s="86" t="s">
        <v>1619</v>
      </c>
      <c r="G199" s="100" t="s">
        <v>1620</v>
      </c>
      <c r="H199" s="85" t="s">
        <v>1614</v>
      </c>
      <c r="I199" s="85" t="s">
        <v>1615</v>
      </c>
      <c r="J199" s="106"/>
      <c r="K199" s="107" t="s">
        <v>1463</v>
      </c>
      <c r="L199" s="91" t="s">
        <v>137</v>
      </c>
      <c r="M199" s="51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42">
      <c r="A200" s="84" t="s">
        <v>1621</v>
      </c>
      <c r="B200" s="85" t="s">
        <v>5</v>
      </c>
      <c r="C200" s="85" t="s">
        <v>1428</v>
      </c>
      <c r="D200" s="85" t="s">
        <v>1622</v>
      </c>
      <c r="E200" s="85" t="s">
        <v>1623</v>
      </c>
      <c r="F200" s="86" t="s">
        <v>1624</v>
      </c>
      <c r="G200" s="100" t="s">
        <v>1625</v>
      </c>
      <c r="H200" s="85" t="s">
        <v>1626</v>
      </c>
      <c r="I200" s="85" t="s">
        <v>1627</v>
      </c>
      <c r="J200" s="106"/>
      <c r="K200" s="107" t="s">
        <v>1463</v>
      </c>
      <c r="L200" s="91" t="s">
        <v>137</v>
      </c>
      <c r="M200" s="51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42">
      <c r="A201" s="84" t="s">
        <v>1628</v>
      </c>
      <c r="B201" s="85" t="s">
        <v>5</v>
      </c>
      <c r="C201" s="85" t="s">
        <v>1610</v>
      </c>
      <c r="D201" s="85" t="s">
        <v>1629</v>
      </c>
      <c r="E201" s="85" t="s">
        <v>1630</v>
      </c>
      <c r="F201" s="86" t="s">
        <v>971</v>
      </c>
      <c r="G201" s="100" t="s">
        <v>1631</v>
      </c>
      <c r="H201" s="85" t="s">
        <v>1632</v>
      </c>
      <c r="I201" s="85" t="s">
        <v>1633</v>
      </c>
      <c r="J201" s="106"/>
      <c r="K201" s="107" t="s">
        <v>1463</v>
      </c>
      <c r="L201" s="109" t="s">
        <v>137</v>
      </c>
      <c r="M201" s="51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42">
      <c r="A202" s="84" t="s">
        <v>1634</v>
      </c>
      <c r="B202" s="85" t="s">
        <v>5</v>
      </c>
      <c r="C202" s="85" t="s">
        <v>1428</v>
      </c>
      <c r="D202" s="85" t="s">
        <v>1635</v>
      </c>
      <c r="E202" s="85" t="s">
        <v>1636</v>
      </c>
      <c r="F202" s="86" t="s">
        <v>1637</v>
      </c>
      <c r="G202" s="100" t="s">
        <v>1638</v>
      </c>
      <c r="H202" s="85" t="s">
        <v>1639</v>
      </c>
      <c r="I202" s="85" t="s">
        <v>1640</v>
      </c>
      <c r="J202" s="106"/>
      <c r="K202" s="107" t="s">
        <v>1463</v>
      </c>
      <c r="L202" s="110" t="s">
        <v>126</v>
      </c>
      <c r="M202" s="51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56">
      <c r="A203" s="84" t="s">
        <v>1641</v>
      </c>
      <c r="B203" s="85" t="s">
        <v>5</v>
      </c>
      <c r="C203" s="85" t="s">
        <v>1428</v>
      </c>
      <c r="D203" s="85" t="s">
        <v>1642</v>
      </c>
      <c r="E203" s="85" t="s">
        <v>1643</v>
      </c>
      <c r="F203" s="86" t="s">
        <v>1644</v>
      </c>
      <c r="G203" s="100" t="s">
        <v>1645</v>
      </c>
      <c r="H203" s="85" t="s">
        <v>1646</v>
      </c>
      <c r="I203" s="85" t="s">
        <v>1647</v>
      </c>
      <c r="J203" s="106"/>
      <c r="K203" s="107" t="s">
        <v>1463</v>
      </c>
      <c r="L203" s="110" t="s">
        <v>126</v>
      </c>
      <c r="M203" s="51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56">
      <c r="A204" s="84" t="s">
        <v>1648</v>
      </c>
      <c r="B204" s="85" t="s">
        <v>5</v>
      </c>
      <c r="C204" s="85" t="s">
        <v>410</v>
      </c>
      <c r="D204" s="85" t="s">
        <v>1649</v>
      </c>
      <c r="E204" s="85" t="s">
        <v>1650</v>
      </c>
      <c r="F204" s="86" t="s">
        <v>1651</v>
      </c>
      <c r="G204" s="100" t="s">
        <v>1652</v>
      </c>
      <c r="H204" s="85" t="s">
        <v>1653</v>
      </c>
      <c r="I204" s="85" t="s">
        <v>1654</v>
      </c>
      <c r="J204" s="106"/>
      <c r="K204" s="107" t="s">
        <v>1463</v>
      </c>
      <c r="L204" s="110" t="s">
        <v>126</v>
      </c>
      <c r="M204" s="51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56">
      <c r="A205" s="84" t="s">
        <v>1655</v>
      </c>
      <c r="B205" s="85" t="s">
        <v>5</v>
      </c>
      <c r="C205" s="85" t="s">
        <v>368</v>
      </c>
      <c r="D205" s="85" t="s">
        <v>1656</v>
      </c>
      <c r="E205" s="85" t="s">
        <v>1657</v>
      </c>
      <c r="F205" s="86" t="s">
        <v>1658</v>
      </c>
      <c r="G205" s="100" t="s">
        <v>1659</v>
      </c>
      <c r="H205" s="85" t="s">
        <v>1660</v>
      </c>
      <c r="I205" s="85" t="s">
        <v>1661</v>
      </c>
      <c r="J205" s="106"/>
      <c r="K205" s="107" t="s">
        <v>1463</v>
      </c>
      <c r="L205" s="110" t="s">
        <v>126</v>
      </c>
      <c r="M205" s="51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56">
      <c r="A206" s="84" t="s">
        <v>1662</v>
      </c>
      <c r="B206" s="85" t="s">
        <v>5</v>
      </c>
      <c r="C206" s="85" t="s">
        <v>410</v>
      </c>
      <c r="D206" s="85" t="s">
        <v>1663</v>
      </c>
      <c r="E206" s="85" t="s">
        <v>1664</v>
      </c>
      <c r="F206" s="86" t="s">
        <v>1665</v>
      </c>
      <c r="G206" s="100" t="s">
        <v>1666</v>
      </c>
      <c r="H206" s="85" t="s">
        <v>1667</v>
      </c>
      <c r="I206" s="85" t="s">
        <v>1668</v>
      </c>
      <c r="J206" s="106"/>
      <c r="K206" s="107" t="s">
        <v>1463</v>
      </c>
      <c r="L206" s="110" t="s">
        <v>126</v>
      </c>
      <c r="M206" s="51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70">
      <c r="A207" s="84" t="s">
        <v>1669</v>
      </c>
      <c r="B207" s="85" t="s">
        <v>5</v>
      </c>
      <c r="C207" s="85" t="s">
        <v>1509</v>
      </c>
      <c r="D207" s="85" t="s">
        <v>1670</v>
      </c>
      <c r="E207" s="85" t="s">
        <v>1671</v>
      </c>
      <c r="F207" s="86" t="s">
        <v>1672</v>
      </c>
      <c r="G207" s="100" t="s">
        <v>1513</v>
      </c>
      <c r="H207" s="85" t="s">
        <v>1673</v>
      </c>
      <c r="I207" s="85" t="s">
        <v>1674</v>
      </c>
      <c r="J207" s="106"/>
      <c r="K207" s="107" t="s">
        <v>1463</v>
      </c>
      <c r="L207" s="110" t="s">
        <v>126</v>
      </c>
      <c r="M207" s="51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4.5">
      <c r="A208" s="40"/>
      <c r="B208" s="41"/>
      <c r="C208" s="42"/>
      <c r="D208" s="42"/>
      <c r="E208" s="43"/>
      <c r="F208" s="43"/>
      <c r="G208" s="43"/>
      <c r="H208" s="43"/>
      <c r="I208" s="43"/>
      <c r="J208" s="31"/>
      <c r="K208" s="27"/>
      <c r="L208" s="44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4.5">
      <c r="A209" s="40"/>
      <c r="B209" s="41"/>
      <c r="C209" s="42"/>
      <c r="D209" s="42"/>
      <c r="E209" s="43"/>
      <c r="F209" s="43"/>
      <c r="G209" s="43"/>
      <c r="H209" s="43"/>
      <c r="I209" s="43"/>
      <c r="J209" s="31"/>
      <c r="K209" s="27"/>
      <c r="L209" s="44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4.5">
      <c r="A210" s="40"/>
      <c r="B210" s="41"/>
      <c r="C210" s="42"/>
      <c r="D210" s="42"/>
      <c r="E210" s="43"/>
      <c r="F210" s="43"/>
      <c r="G210" s="43"/>
      <c r="H210" s="43"/>
      <c r="I210" s="43"/>
      <c r="J210" s="31"/>
      <c r="K210" s="27"/>
      <c r="L210" s="44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4.5">
      <c r="A211" s="40"/>
      <c r="B211" s="41"/>
      <c r="C211" s="42"/>
      <c r="D211" s="42"/>
      <c r="E211" s="43"/>
      <c r="F211" s="43"/>
      <c r="G211" s="43"/>
      <c r="H211" s="43"/>
      <c r="I211" s="43"/>
      <c r="J211" s="31"/>
      <c r="K211" s="27"/>
      <c r="L211" s="44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4.5">
      <c r="A212" s="40"/>
      <c r="B212" s="41"/>
      <c r="C212" s="42"/>
      <c r="D212" s="42"/>
      <c r="E212" s="43"/>
      <c r="F212" s="43"/>
      <c r="G212" s="43"/>
      <c r="H212" s="43"/>
      <c r="I212" s="43"/>
      <c r="J212" s="31"/>
      <c r="K212" s="27"/>
      <c r="L212" s="44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4.5">
      <c r="A213" s="40"/>
      <c r="B213" s="41"/>
      <c r="C213" s="42"/>
      <c r="D213" s="42"/>
      <c r="E213" s="43"/>
      <c r="F213" s="43"/>
      <c r="G213" s="43"/>
      <c r="H213" s="43"/>
      <c r="I213" s="43"/>
      <c r="J213" s="31"/>
      <c r="K213" s="27"/>
      <c r="L213" s="44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4.5">
      <c r="A214" s="40"/>
      <c r="B214" s="41"/>
      <c r="C214" s="42"/>
      <c r="D214" s="42"/>
      <c r="E214" s="43"/>
      <c r="F214" s="43"/>
      <c r="G214" s="43"/>
      <c r="H214" s="43"/>
      <c r="I214" s="43"/>
      <c r="J214" s="31"/>
      <c r="K214" s="27"/>
      <c r="L214" s="44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4.5">
      <c r="A215" s="40"/>
      <c r="B215" s="41"/>
      <c r="C215" s="42"/>
      <c r="D215" s="42"/>
      <c r="E215" s="43"/>
      <c r="F215" s="43"/>
      <c r="G215" s="43"/>
      <c r="H215" s="43"/>
      <c r="I215" s="43"/>
      <c r="J215" s="31"/>
      <c r="K215" s="27"/>
      <c r="L215" s="44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4.5">
      <c r="A216" s="40"/>
      <c r="B216" s="41"/>
      <c r="C216" s="42"/>
      <c r="D216" s="42"/>
      <c r="E216" s="43"/>
      <c r="F216" s="43"/>
      <c r="G216" s="43"/>
      <c r="H216" s="43"/>
      <c r="I216" s="43"/>
      <c r="J216" s="31"/>
      <c r="K216" s="27"/>
      <c r="L216" s="44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4.5">
      <c r="A217" s="40"/>
      <c r="B217" s="41"/>
      <c r="C217" s="42"/>
      <c r="D217" s="42"/>
      <c r="E217" s="43"/>
      <c r="F217" s="43"/>
      <c r="G217" s="43"/>
      <c r="H217" s="43"/>
      <c r="I217" s="43"/>
      <c r="J217" s="31"/>
      <c r="K217" s="27"/>
      <c r="L217" s="44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4.5">
      <c r="A218" s="40"/>
      <c r="B218" s="41"/>
      <c r="C218" s="42"/>
      <c r="D218" s="42"/>
      <c r="E218" s="43"/>
      <c r="F218" s="43"/>
      <c r="G218" s="43"/>
      <c r="H218" s="43"/>
      <c r="I218" s="43"/>
      <c r="J218" s="31"/>
      <c r="K218" s="27"/>
      <c r="L218" s="44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4.5">
      <c r="A219" s="40"/>
      <c r="B219" s="41"/>
      <c r="C219" s="42"/>
      <c r="D219" s="42"/>
      <c r="E219" s="43"/>
      <c r="F219" s="43"/>
      <c r="G219" s="43"/>
      <c r="H219" s="43"/>
      <c r="I219" s="43"/>
      <c r="J219" s="31"/>
      <c r="K219" s="27"/>
      <c r="L219" s="44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4.5">
      <c r="A220" s="40"/>
      <c r="B220" s="41"/>
      <c r="C220" s="42"/>
      <c r="D220" s="42"/>
      <c r="E220" s="43"/>
      <c r="F220" s="43"/>
      <c r="G220" s="43"/>
      <c r="H220" s="43"/>
      <c r="I220" s="43"/>
      <c r="J220" s="31"/>
      <c r="K220" s="27"/>
      <c r="L220" s="44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4.5">
      <c r="A221" s="40"/>
      <c r="B221" s="41"/>
      <c r="C221" s="42"/>
      <c r="D221" s="42"/>
      <c r="E221" s="43"/>
      <c r="F221" s="43"/>
      <c r="G221" s="43"/>
      <c r="H221" s="43"/>
      <c r="I221" s="43"/>
      <c r="J221" s="31"/>
      <c r="K221" s="27"/>
      <c r="L221" s="44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4.5">
      <c r="A222" s="40"/>
      <c r="B222" s="41"/>
      <c r="C222" s="42"/>
      <c r="D222" s="42"/>
      <c r="E222" s="43"/>
      <c r="F222" s="43"/>
      <c r="G222" s="43"/>
      <c r="H222" s="43"/>
      <c r="I222" s="43"/>
      <c r="J222" s="31"/>
      <c r="K222" s="27"/>
      <c r="L222" s="44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4.5">
      <c r="A223" s="40"/>
      <c r="B223" s="41"/>
      <c r="C223" s="42"/>
      <c r="D223" s="42"/>
      <c r="E223" s="43"/>
      <c r="F223" s="43"/>
      <c r="G223" s="43"/>
      <c r="H223" s="43"/>
      <c r="I223" s="43"/>
      <c r="J223" s="31"/>
      <c r="K223" s="27"/>
      <c r="L223" s="44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4.5">
      <c r="A224" s="40"/>
      <c r="B224" s="41"/>
      <c r="C224" s="42"/>
      <c r="D224" s="42"/>
      <c r="E224" s="43"/>
      <c r="F224" s="43"/>
      <c r="G224" s="43"/>
      <c r="H224" s="43"/>
      <c r="I224" s="43"/>
      <c r="J224" s="31"/>
      <c r="K224" s="27"/>
      <c r="L224" s="44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4.5">
      <c r="A225" s="40"/>
      <c r="B225" s="41"/>
      <c r="C225" s="42"/>
      <c r="D225" s="42"/>
      <c r="E225" s="43"/>
      <c r="F225" s="43"/>
      <c r="G225" s="43"/>
      <c r="H225" s="43"/>
      <c r="I225" s="43"/>
      <c r="J225" s="31"/>
      <c r="K225" s="27"/>
      <c r="L225" s="44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4.5">
      <c r="A226" s="40"/>
      <c r="B226" s="41"/>
      <c r="C226" s="42"/>
      <c r="D226" s="42"/>
      <c r="E226" s="43"/>
      <c r="F226" s="43"/>
      <c r="G226" s="43"/>
      <c r="H226" s="43"/>
      <c r="I226" s="43"/>
      <c r="J226" s="31"/>
      <c r="K226" s="27"/>
      <c r="L226" s="44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4.5">
      <c r="A227" s="40"/>
      <c r="B227" s="41"/>
      <c r="C227" s="42"/>
      <c r="D227" s="42"/>
      <c r="E227" s="43"/>
      <c r="F227" s="43"/>
      <c r="G227" s="43"/>
      <c r="H227" s="43"/>
      <c r="I227" s="43"/>
      <c r="J227" s="31"/>
      <c r="K227" s="27"/>
      <c r="L227" s="44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4.5">
      <c r="A228" s="40"/>
      <c r="B228" s="41"/>
      <c r="C228" s="42"/>
      <c r="D228" s="42"/>
      <c r="E228" s="43"/>
      <c r="F228" s="43"/>
      <c r="G228" s="43"/>
      <c r="H228" s="43"/>
      <c r="I228" s="43"/>
      <c r="J228" s="31"/>
      <c r="K228" s="27"/>
      <c r="L228" s="44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4.5">
      <c r="A229" s="40"/>
      <c r="B229" s="41"/>
      <c r="C229" s="42"/>
      <c r="D229" s="42"/>
      <c r="E229" s="43"/>
      <c r="F229" s="43"/>
      <c r="G229" s="43"/>
      <c r="H229" s="43"/>
      <c r="I229" s="43"/>
      <c r="J229" s="31"/>
      <c r="K229" s="27"/>
      <c r="L229" s="44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4.5">
      <c r="A230" s="40"/>
      <c r="B230" s="41"/>
      <c r="C230" s="42"/>
      <c r="D230" s="42"/>
      <c r="E230" s="43"/>
      <c r="F230" s="43"/>
      <c r="G230" s="43"/>
      <c r="H230" s="43"/>
      <c r="I230" s="43"/>
      <c r="J230" s="31"/>
      <c r="K230" s="27"/>
      <c r="L230" s="44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4.5">
      <c r="A231" s="40"/>
      <c r="B231" s="41"/>
      <c r="C231" s="42"/>
      <c r="D231" s="42"/>
      <c r="E231" s="43"/>
      <c r="F231" s="43"/>
      <c r="G231" s="43"/>
      <c r="H231" s="43"/>
      <c r="I231" s="43"/>
      <c r="J231" s="31"/>
      <c r="K231" s="27"/>
      <c r="L231" s="44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4.5">
      <c r="A232" s="40"/>
      <c r="B232" s="41"/>
      <c r="C232" s="42"/>
      <c r="D232" s="42"/>
      <c r="E232" s="43"/>
      <c r="F232" s="43"/>
      <c r="G232" s="43"/>
      <c r="H232" s="43"/>
      <c r="I232" s="43"/>
      <c r="J232" s="31"/>
      <c r="K232" s="27"/>
      <c r="L232" s="44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4.5">
      <c r="A233" s="40"/>
      <c r="B233" s="41"/>
      <c r="C233" s="42"/>
      <c r="D233" s="42"/>
      <c r="E233" s="43"/>
      <c r="F233" s="43"/>
      <c r="G233" s="43"/>
      <c r="H233" s="43"/>
      <c r="I233" s="43"/>
      <c r="J233" s="31"/>
      <c r="K233" s="27"/>
      <c r="L233" s="44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4.5">
      <c r="A234" s="40"/>
      <c r="B234" s="41"/>
      <c r="C234" s="42"/>
      <c r="D234" s="42"/>
      <c r="E234" s="43"/>
      <c r="F234" s="43"/>
      <c r="G234" s="43"/>
      <c r="H234" s="43"/>
      <c r="I234" s="43"/>
      <c r="J234" s="31"/>
      <c r="K234" s="27"/>
      <c r="L234" s="44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4.5">
      <c r="A235" s="40"/>
      <c r="B235" s="41"/>
      <c r="C235" s="42"/>
      <c r="D235" s="42"/>
      <c r="E235" s="43"/>
      <c r="F235" s="43"/>
      <c r="G235" s="43"/>
      <c r="H235" s="43"/>
      <c r="I235" s="43"/>
      <c r="J235" s="31"/>
      <c r="K235" s="27"/>
      <c r="L235" s="44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4.5">
      <c r="A236" s="40"/>
      <c r="B236" s="41"/>
      <c r="C236" s="42"/>
      <c r="D236" s="42"/>
      <c r="E236" s="43"/>
      <c r="F236" s="43"/>
      <c r="G236" s="43"/>
      <c r="H236" s="43"/>
      <c r="I236" s="43"/>
      <c r="J236" s="31"/>
      <c r="K236" s="27"/>
      <c r="L236" s="44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4.5">
      <c r="A237" s="40"/>
      <c r="B237" s="41"/>
      <c r="C237" s="42"/>
      <c r="D237" s="42"/>
      <c r="E237" s="43"/>
      <c r="F237" s="43"/>
      <c r="G237" s="43"/>
      <c r="H237" s="43"/>
      <c r="I237" s="43"/>
      <c r="J237" s="31"/>
      <c r="K237" s="27"/>
      <c r="L237" s="44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4.5">
      <c r="A238" s="40"/>
      <c r="B238" s="41"/>
      <c r="C238" s="42"/>
      <c r="D238" s="42"/>
      <c r="E238" s="43"/>
      <c r="F238" s="43"/>
      <c r="G238" s="43"/>
      <c r="H238" s="43"/>
      <c r="I238" s="43"/>
      <c r="J238" s="31"/>
      <c r="K238" s="27"/>
      <c r="L238" s="44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4.5">
      <c r="A239" s="40"/>
      <c r="B239" s="41"/>
      <c r="C239" s="42"/>
      <c r="D239" s="42"/>
      <c r="E239" s="43"/>
      <c r="F239" s="43"/>
      <c r="G239" s="43"/>
      <c r="H239" s="43"/>
      <c r="I239" s="43"/>
      <c r="J239" s="31"/>
      <c r="K239" s="27"/>
      <c r="L239" s="44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4.5">
      <c r="A240" s="40"/>
      <c r="B240" s="41"/>
      <c r="C240" s="42"/>
      <c r="D240" s="42"/>
      <c r="E240" s="43"/>
      <c r="F240" s="43"/>
      <c r="G240" s="43"/>
      <c r="H240" s="43"/>
      <c r="I240" s="43"/>
      <c r="J240" s="31"/>
      <c r="K240" s="27"/>
      <c r="L240" s="44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4.5">
      <c r="A241" s="40"/>
      <c r="B241" s="41"/>
      <c r="C241" s="42"/>
      <c r="D241" s="42"/>
      <c r="E241" s="43"/>
      <c r="F241" s="43"/>
      <c r="G241" s="43"/>
      <c r="H241" s="43"/>
      <c r="I241" s="43"/>
      <c r="J241" s="31"/>
      <c r="K241" s="27"/>
      <c r="L241" s="44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4.5">
      <c r="A242" s="40"/>
      <c r="B242" s="41"/>
      <c r="C242" s="42"/>
      <c r="D242" s="42"/>
      <c r="E242" s="43"/>
      <c r="F242" s="43"/>
      <c r="G242" s="43"/>
      <c r="H242" s="43"/>
      <c r="I242" s="43"/>
      <c r="J242" s="31"/>
      <c r="K242" s="27"/>
      <c r="L242" s="44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4.5">
      <c r="A243" s="40"/>
      <c r="B243" s="41"/>
      <c r="C243" s="42"/>
      <c r="D243" s="42"/>
      <c r="E243" s="43"/>
      <c r="F243" s="43"/>
      <c r="G243" s="43"/>
      <c r="H243" s="43"/>
      <c r="I243" s="43"/>
      <c r="J243" s="31"/>
      <c r="K243" s="27"/>
      <c r="L243" s="44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4.5">
      <c r="A244" s="40"/>
      <c r="B244" s="41"/>
      <c r="C244" s="42"/>
      <c r="D244" s="42"/>
      <c r="E244" s="43"/>
      <c r="F244" s="43"/>
      <c r="G244" s="43"/>
      <c r="H244" s="43"/>
      <c r="I244" s="43"/>
      <c r="J244" s="45"/>
      <c r="K244" s="46"/>
      <c r="L244" s="31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4.5">
      <c r="A245" s="40"/>
      <c r="B245" s="41"/>
      <c r="C245" s="42"/>
      <c r="D245" s="42"/>
      <c r="E245" s="43"/>
      <c r="F245" s="43"/>
      <c r="G245" s="43"/>
      <c r="H245" s="43"/>
      <c r="I245" s="43"/>
      <c r="J245" s="45"/>
      <c r="K245" s="46"/>
      <c r="L245" s="31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4.5">
      <c r="A246" s="40"/>
      <c r="B246" s="41"/>
      <c r="C246" s="42"/>
      <c r="D246" s="42"/>
      <c r="E246" s="43"/>
      <c r="F246" s="43"/>
      <c r="G246" s="43"/>
      <c r="H246" s="43"/>
      <c r="I246" s="43"/>
      <c r="J246" s="45"/>
      <c r="K246" s="46"/>
      <c r="L246" s="31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4.5">
      <c r="A247" s="40"/>
      <c r="B247" s="41"/>
      <c r="C247" s="42"/>
      <c r="D247" s="42"/>
      <c r="E247" s="43"/>
      <c r="F247" s="43"/>
      <c r="G247" s="43"/>
      <c r="H247" s="43"/>
      <c r="I247" s="43"/>
      <c r="J247" s="45"/>
      <c r="K247" s="46"/>
      <c r="L247" s="31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4.5">
      <c r="A248" s="40"/>
      <c r="B248" s="41"/>
      <c r="C248" s="42"/>
      <c r="D248" s="42"/>
      <c r="E248" s="43"/>
      <c r="F248" s="43"/>
      <c r="G248" s="43"/>
      <c r="H248" s="43"/>
      <c r="I248" s="43"/>
      <c r="J248" s="45"/>
      <c r="K248" s="46"/>
      <c r="L248" s="31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4.5">
      <c r="A249" s="40"/>
      <c r="B249" s="41"/>
      <c r="C249" s="42"/>
      <c r="D249" s="42"/>
      <c r="E249" s="43"/>
      <c r="F249" s="43"/>
      <c r="G249" s="43"/>
      <c r="H249" s="43"/>
      <c r="I249" s="43"/>
      <c r="J249" s="45"/>
      <c r="K249" s="46"/>
      <c r="L249" s="31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4.5">
      <c r="A250" s="40"/>
      <c r="B250" s="41"/>
      <c r="C250" s="42"/>
      <c r="D250" s="42"/>
      <c r="E250" s="43"/>
      <c r="F250" s="43"/>
      <c r="G250" s="43"/>
      <c r="H250" s="43"/>
      <c r="I250" s="43"/>
      <c r="J250" s="45"/>
      <c r="K250" s="46"/>
      <c r="L250" s="31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4.5">
      <c r="A251" s="40"/>
      <c r="B251" s="41"/>
      <c r="C251" s="42"/>
      <c r="D251" s="42"/>
      <c r="E251" s="43"/>
      <c r="F251" s="43"/>
      <c r="G251" s="43"/>
      <c r="H251" s="43"/>
      <c r="I251" s="43"/>
      <c r="J251" s="45"/>
      <c r="K251" s="46"/>
      <c r="L251" s="31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4.5">
      <c r="A252" s="40"/>
      <c r="B252" s="41"/>
      <c r="C252" s="42"/>
      <c r="D252" s="42"/>
      <c r="E252" s="43"/>
      <c r="F252" s="43"/>
      <c r="G252" s="43"/>
      <c r="H252" s="43"/>
      <c r="I252" s="43"/>
      <c r="J252" s="45"/>
      <c r="K252" s="46"/>
      <c r="L252" s="31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4.5">
      <c r="A253" s="40"/>
      <c r="B253" s="41"/>
      <c r="C253" s="42"/>
      <c r="D253" s="42"/>
      <c r="E253" s="43"/>
      <c r="F253" s="43"/>
      <c r="G253" s="43"/>
      <c r="H253" s="43"/>
      <c r="I253" s="43"/>
      <c r="J253" s="45"/>
      <c r="K253" s="46"/>
      <c r="L253" s="31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4.5">
      <c r="A254" s="40"/>
      <c r="B254" s="41"/>
      <c r="C254" s="42"/>
      <c r="D254" s="42"/>
      <c r="E254" s="43"/>
      <c r="F254" s="43"/>
      <c r="G254" s="43"/>
      <c r="H254" s="43"/>
      <c r="I254" s="43"/>
      <c r="J254" s="45"/>
      <c r="K254" s="46"/>
      <c r="L254" s="31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4.5">
      <c r="A255" s="40"/>
      <c r="B255" s="41"/>
      <c r="C255" s="42"/>
      <c r="D255" s="42"/>
      <c r="E255" s="43"/>
      <c r="F255" s="43"/>
      <c r="G255" s="43"/>
      <c r="H255" s="43"/>
      <c r="I255" s="43"/>
      <c r="J255" s="45"/>
      <c r="K255" s="46"/>
      <c r="L255" s="31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4.5">
      <c r="A256" s="40"/>
      <c r="B256" s="41"/>
      <c r="C256" s="42"/>
      <c r="D256" s="42"/>
      <c r="E256" s="43"/>
      <c r="F256" s="43"/>
      <c r="G256" s="43"/>
      <c r="H256" s="43"/>
      <c r="I256" s="43"/>
      <c r="J256" s="45"/>
      <c r="K256" s="46"/>
      <c r="L256" s="31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4.5">
      <c r="A257" s="40"/>
      <c r="B257" s="41"/>
      <c r="C257" s="42"/>
      <c r="D257" s="42"/>
      <c r="E257" s="43"/>
      <c r="F257" s="43"/>
      <c r="G257" s="43"/>
      <c r="H257" s="43"/>
      <c r="I257" s="43"/>
      <c r="J257" s="45"/>
      <c r="K257" s="46"/>
      <c r="L257" s="31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4.5">
      <c r="A258" s="40"/>
      <c r="B258" s="41"/>
      <c r="C258" s="42"/>
      <c r="D258" s="42"/>
      <c r="E258" s="43"/>
      <c r="F258" s="43"/>
      <c r="G258" s="43"/>
      <c r="H258" s="43"/>
      <c r="I258" s="43"/>
      <c r="J258" s="45"/>
      <c r="K258" s="46"/>
      <c r="L258" s="31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4.5">
      <c r="A259" s="40"/>
      <c r="B259" s="41"/>
      <c r="C259" s="42"/>
      <c r="D259" s="42"/>
      <c r="E259" s="43"/>
      <c r="F259" s="43"/>
      <c r="G259" s="43"/>
      <c r="H259" s="43"/>
      <c r="I259" s="43"/>
      <c r="J259" s="45"/>
      <c r="K259" s="46"/>
      <c r="L259" s="31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4.5">
      <c r="A260" s="40"/>
      <c r="B260" s="41"/>
      <c r="C260" s="42"/>
      <c r="D260" s="42"/>
      <c r="E260" s="43"/>
      <c r="F260" s="43"/>
      <c r="G260" s="43"/>
      <c r="H260" s="43"/>
      <c r="I260" s="43"/>
      <c r="J260" s="45"/>
      <c r="K260" s="46"/>
      <c r="L260" s="31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4.5">
      <c r="A261" s="40"/>
      <c r="B261" s="41"/>
      <c r="C261" s="42"/>
      <c r="D261" s="42"/>
      <c r="E261" s="43"/>
      <c r="F261" s="43"/>
      <c r="G261" s="43"/>
      <c r="H261" s="43"/>
      <c r="I261" s="43"/>
      <c r="J261" s="45"/>
      <c r="K261" s="46"/>
      <c r="L261" s="31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4.5">
      <c r="A262" s="40"/>
      <c r="B262" s="41"/>
      <c r="C262" s="42"/>
      <c r="D262" s="42"/>
      <c r="E262" s="43"/>
      <c r="F262" s="43"/>
      <c r="G262" s="43"/>
      <c r="H262" s="43"/>
      <c r="I262" s="43"/>
      <c r="J262" s="45"/>
      <c r="K262" s="46"/>
      <c r="L262" s="31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4.5">
      <c r="A263" s="40"/>
      <c r="B263" s="41"/>
      <c r="C263" s="42"/>
      <c r="D263" s="42"/>
      <c r="E263" s="43"/>
      <c r="F263" s="43"/>
      <c r="G263" s="43"/>
      <c r="H263" s="43"/>
      <c r="I263" s="43"/>
      <c r="J263" s="45"/>
      <c r="K263" s="46"/>
      <c r="L263" s="31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4.5">
      <c r="A264" s="40"/>
      <c r="B264" s="41"/>
      <c r="C264" s="42"/>
      <c r="D264" s="42"/>
      <c r="E264" s="43"/>
      <c r="F264" s="43"/>
      <c r="G264" s="43"/>
      <c r="H264" s="43"/>
      <c r="I264" s="43"/>
      <c r="J264" s="45"/>
      <c r="K264" s="46"/>
      <c r="L264" s="31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4.5">
      <c r="A265" s="40"/>
      <c r="B265" s="41"/>
      <c r="C265" s="42"/>
      <c r="D265" s="42"/>
      <c r="E265" s="43"/>
      <c r="F265" s="43"/>
      <c r="G265" s="43"/>
      <c r="H265" s="43"/>
      <c r="I265" s="43"/>
      <c r="J265" s="45"/>
      <c r="K265" s="46"/>
      <c r="L265" s="31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4.5">
      <c r="A266" s="40"/>
      <c r="B266" s="41"/>
      <c r="C266" s="42"/>
      <c r="D266" s="42"/>
      <c r="E266" s="43"/>
      <c r="F266" s="43"/>
      <c r="G266" s="43"/>
      <c r="H266" s="43"/>
      <c r="I266" s="43"/>
      <c r="J266" s="45"/>
      <c r="K266" s="46"/>
      <c r="L266" s="31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4.5">
      <c r="A267" s="40"/>
      <c r="B267" s="41"/>
      <c r="C267" s="42"/>
      <c r="D267" s="42"/>
      <c r="E267" s="43"/>
      <c r="F267" s="43"/>
      <c r="G267" s="43"/>
      <c r="H267" s="43"/>
      <c r="I267" s="43"/>
      <c r="J267" s="45"/>
      <c r="K267" s="46"/>
      <c r="L267" s="31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4.5">
      <c r="A268" s="40"/>
      <c r="B268" s="41"/>
      <c r="C268" s="42"/>
      <c r="D268" s="42"/>
      <c r="E268" s="43"/>
      <c r="F268" s="43"/>
      <c r="G268" s="43"/>
      <c r="H268" s="43"/>
      <c r="I268" s="43"/>
      <c r="J268" s="45"/>
      <c r="K268" s="46"/>
      <c r="L268" s="31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4.5">
      <c r="A269" s="40"/>
      <c r="B269" s="41"/>
      <c r="C269" s="42"/>
      <c r="D269" s="42"/>
      <c r="E269" s="43"/>
      <c r="F269" s="43"/>
      <c r="G269" s="43"/>
      <c r="H269" s="43"/>
      <c r="I269" s="43"/>
      <c r="J269" s="45"/>
      <c r="K269" s="46"/>
      <c r="L269" s="31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4.5">
      <c r="A270" s="40"/>
      <c r="B270" s="41"/>
      <c r="C270" s="42"/>
      <c r="D270" s="42"/>
      <c r="E270" s="43"/>
      <c r="F270" s="43"/>
      <c r="G270" s="43"/>
      <c r="H270" s="43"/>
      <c r="I270" s="43"/>
      <c r="J270" s="45"/>
      <c r="K270" s="46"/>
      <c r="L270" s="31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4.5">
      <c r="A271" s="40"/>
      <c r="B271" s="41"/>
      <c r="C271" s="42"/>
      <c r="D271" s="42"/>
      <c r="E271" s="43"/>
      <c r="F271" s="43"/>
      <c r="G271" s="43"/>
      <c r="H271" s="43"/>
      <c r="I271" s="43"/>
      <c r="J271" s="45"/>
      <c r="K271" s="46"/>
      <c r="L271" s="31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4.5">
      <c r="A272" s="40"/>
      <c r="B272" s="41"/>
      <c r="C272" s="42"/>
      <c r="D272" s="42"/>
      <c r="E272" s="43"/>
      <c r="F272" s="43"/>
      <c r="G272" s="43"/>
      <c r="H272" s="43"/>
      <c r="I272" s="43"/>
      <c r="J272" s="45"/>
      <c r="K272" s="46"/>
      <c r="L272" s="31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4.5">
      <c r="A273" s="40"/>
      <c r="B273" s="41"/>
      <c r="C273" s="42"/>
      <c r="D273" s="42"/>
      <c r="E273" s="43"/>
      <c r="F273" s="43"/>
      <c r="G273" s="43"/>
      <c r="H273" s="43"/>
      <c r="I273" s="43"/>
      <c r="J273" s="45"/>
      <c r="K273" s="46"/>
      <c r="L273" s="31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4.5">
      <c r="A274" s="40"/>
      <c r="B274" s="41"/>
      <c r="C274" s="42"/>
      <c r="D274" s="42"/>
      <c r="E274" s="43"/>
      <c r="F274" s="43"/>
      <c r="G274" s="43"/>
      <c r="H274" s="43"/>
      <c r="I274" s="43"/>
      <c r="J274" s="45"/>
      <c r="K274" s="46"/>
      <c r="L274" s="31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4.5">
      <c r="A275" s="40"/>
      <c r="B275" s="41"/>
      <c r="C275" s="42"/>
      <c r="D275" s="42"/>
      <c r="E275" s="43"/>
      <c r="F275" s="43"/>
      <c r="G275" s="43"/>
      <c r="H275" s="43"/>
      <c r="I275" s="43"/>
      <c r="J275" s="45"/>
      <c r="K275" s="46"/>
      <c r="L275" s="31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4.5">
      <c r="A276" s="40"/>
      <c r="B276" s="41"/>
      <c r="C276" s="42"/>
      <c r="D276" s="42"/>
      <c r="E276" s="43"/>
      <c r="F276" s="43"/>
      <c r="G276" s="43"/>
      <c r="H276" s="43"/>
      <c r="I276" s="43"/>
      <c r="J276" s="45"/>
      <c r="K276" s="46"/>
      <c r="L276" s="31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4.5">
      <c r="A277" s="40"/>
      <c r="B277" s="41"/>
      <c r="C277" s="42"/>
      <c r="D277" s="42"/>
      <c r="E277" s="43"/>
      <c r="F277" s="43"/>
      <c r="G277" s="43"/>
      <c r="H277" s="43"/>
      <c r="I277" s="43"/>
      <c r="J277" s="45"/>
      <c r="K277" s="46"/>
      <c r="L277" s="31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4.5">
      <c r="A278" s="40"/>
      <c r="B278" s="41"/>
      <c r="C278" s="42"/>
      <c r="D278" s="42"/>
      <c r="E278" s="43"/>
      <c r="F278" s="43"/>
      <c r="G278" s="43"/>
      <c r="H278" s="43"/>
      <c r="I278" s="43"/>
      <c r="J278" s="45"/>
      <c r="K278" s="46"/>
      <c r="L278" s="31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4.5">
      <c r="A279" s="40"/>
      <c r="B279" s="41"/>
      <c r="C279" s="42"/>
      <c r="D279" s="42"/>
      <c r="E279" s="43"/>
      <c r="F279" s="43"/>
      <c r="G279" s="43"/>
      <c r="H279" s="43"/>
      <c r="I279" s="43"/>
      <c r="J279" s="45"/>
      <c r="K279" s="46"/>
      <c r="L279" s="31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4.5">
      <c r="A280" s="40"/>
      <c r="B280" s="41"/>
      <c r="C280" s="42"/>
      <c r="D280" s="42"/>
      <c r="E280" s="43"/>
      <c r="F280" s="43"/>
      <c r="G280" s="43"/>
      <c r="H280" s="43"/>
      <c r="I280" s="43"/>
      <c r="J280" s="45"/>
      <c r="K280" s="46"/>
      <c r="L280" s="31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4.5">
      <c r="A281" s="40"/>
      <c r="B281" s="41"/>
      <c r="C281" s="42"/>
      <c r="D281" s="42"/>
      <c r="E281" s="43"/>
      <c r="F281" s="43"/>
      <c r="G281" s="43"/>
      <c r="H281" s="43"/>
      <c r="I281" s="43"/>
      <c r="J281" s="45"/>
      <c r="K281" s="46"/>
      <c r="L281" s="31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4.5">
      <c r="A282" s="40"/>
      <c r="B282" s="41"/>
      <c r="C282" s="42"/>
      <c r="D282" s="42"/>
      <c r="E282" s="43"/>
      <c r="F282" s="43"/>
      <c r="G282" s="43"/>
      <c r="H282" s="43"/>
      <c r="I282" s="43"/>
      <c r="J282" s="45"/>
      <c r="K282" s="46"/>
      <c r="L282" s="31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4.5">
      <c r="A283" s="40"/>
      <c r="B283" s="41"/>
      <c r="C283" s="42"/>
      <c r="D283" s="42"/>
      <c r="E283" s="43"/>
      <c r="F283" s="43"/>
      <c r="G283" s="43"/>
      <c r="H283" s="43"/>
      <c r="I283" s="43"/>
      <c r="J283" s="45"/>
      <c r="K283" s="46"/>
      <c r="L283" s="31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4.5">
      <c r="A284" s="40"/>
      <c r="B284" s="41"/>
      <c r="C284" s="42"/>
      <c r="D284" s="42"/>
      <c r="E284" s="43"/>
      <c r="F284" s="43"/>
      <c r="G284" s="43"/>
      <c r="H284" s="43"/>
      <c r="I284" s="43"/>
      <c r="J284" s="45"/>
      <c r="K284" s="46"/>
      <c r="L284" s="31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4.5">
      <c r="A285" s="40"/>
      <c r="B285" s="41"/>
      <c r="C285" s="42"/>
      <c r="D285" s="42"/>
      <c r="E285" s="43"/>
      <c r="F285" s="43"/>
      <c r="G285" s="43"/>
      <c r="H285" s="43"/>
      <c r="I285" s="43"/>
      <c r="J285" s="45"/>
      <c r="K285" s="46"/>
      <c r="L285" s="31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4.5">
      <c r="A286" s="40"/>
      <c r="B286" s="41"/>
      <c r="C286" s="42"/>
      <c r="D286" s="42"/>
      <c r="E286" s="43"/>
      <c r="F286" s="43"/>
      <c r="G286" s="43"/>
      <c r="H286" s="43"/>
      <c r="I286" s="43"/>
      <c r="J286" s="45"/>
      <c r="K286" s="46"/>
      <c r="L286" s="31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4.5">
      <c r="A287" s="40"/>
      <c r="B287" s="41"/>
      <c r="C287" s="42"/>
      <c r="D287" s="42"/>
      <c r="E287" s="43"/>
      <c r="F287" s="43"/>
      <c r="G287" s="43"/>
      <c r="H287" s="43"/>
      <c r="I287" s="43"/>
      <c r="J287" s="45"/>
      <c r="K287" s="46"/>
      <c r="L287" s="31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4.5">
      <c r="A288" s="40"/>
      <c r="B288" s="41"/>
      <c r="C288" s="42"/>
      <c r="D288" s="42"/>
      <c r="E288" s="43"/>
      <c r="F288" s="43"/>
      <c r="G288" s="43"/>
      <c r="H288" s="43"/>
      <c r="I288" s="43"/>
      <c r="J288" s="45"/>
      <c r="K288" s="46"/>
      <c r="L288" s="31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4.5">
      <c r="A289" s="40"/>
      <c r="B289" s="41"/>
      <c r="C289" s="42"/>
      <c r="D289" s="42"/>
      <c r="E289" s="43"/>
      <c r="F289" s="43"/>
      <c r="G289" s="43"/>
      <c r="H289" s="43"/>
      <c r="I289" s="43"/>
      <c r="J289" s="45"/>
      <c r="K289" s="46"/>
      <c r="L289" s="31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4.5">
      <c r="A290" s="40"/>
      <c r="B290" s="41"/>
      <c r="C290" s="42"/>
      <c r="D290" s="42"/>
      <c r="E290" s="43"/>
      <c r="F290" s="43"/>
      <c r="G290" s="43"/>
      <c r="H290" s="43"/>
      <c r="I290" s="43"/>
      <c r="J290" s="45"/>
      <c r="K290" s="46"/>
      <c r="L290" s="31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4.5">
      <c r="A291" s="40"/>
      <c r="B291" s="41"/>
      <c r="C291" s="42"/>
      <c r="D291" s="42"/>
      <c r="E291" s="43"/>
      <c r="F291" s="43"/>
      <c r="G291" s="43"/>
      <c r="H291" s="43"/>
      <c r="I291" s="43"/>
      <c r="J291" s="45"/>
      <c r="K291" s="46"/>
      <c r="L291" s="31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4.5">
      <c r="A292" s="40"/>
      <c r="B292" s="41"/>
      <c r="C292" s="42"/>
      <c r="D292" s="42"/>
      <c r="E292" s="43"/>
      <c r="F292" s="43"/>
      <c r="G292" s="43"/>
      <c r="H292" s="43"/>
      <c r="I292" s="43"/>
      <c r="J292" s="45"/>
      <c r="K292" s="46"/>
      <c r="L292" s="31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4.5">
      <c r="A293" s="40"/>
      <c r="B293" s="41"/>
      <c r="C293" s="42"/>
      <c r="D293" s="42"/>
      <c r="E293" s="43"/>
      <c r="F293" s="43"/>
      <c r="G293" s="43"/>
      <c r="H293" s="43"/>
      <c r="I293" s="43"/>
      <c r="J293" s="45"/>
      <c r="K293" s="46"/>
      <c r="L293" s="31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4.5">
      <c r="A294" s="40"/>
      <c r="B294" s="41"/>
      <c r="C294" s="42"/>
      <c r="D294" s="42"/>
      <c r="E294" s="43"/>
      <c r="F294" s="43"/>
      <c r="G294" s="43"/>
      <c r="H294" s="43"/>
      <c r="I294" s="43"/>
      <c r="J294" s="45"/>
      <c r="K294" s="46"/>
      <c r="L294" s="31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4.5">
      <c r="A295" s="40"/>
      <c r="B295" s="41"/>
      <c r="C295" s="42"/>
      <c r="D295" s="42"/>
      <c r="E295" s="43"/>
      <c r="F295" s="43"/>
      <c r="G295" s="43"/>
      <c r="H295" s="43"/>
      <c r="I295" s="43"/>
      <c r="J295" s="45"/>
      <c r="K295" s="46"/>
      <c r="L295" s="31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4.5">
      <c r="A296" s="40"/>
      <c r="B296" s="41"/>
      <c r="C296" s="42"/>
      <c r="D296" s="42"/>
      <c r="E296" s="43"/>
      <c r="F296" s="43"/>
      <c r="G296" s="43"/>
      <c r="H296" s="43"/>
      <c r="I296" s="43"/>
      <c r="J296" s="45"/>
      <c r="K296" s="46"/>
      <c r="L296" s="31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4.5">
      <c r="A297" s="40"/>
      <c r="B297" s="41"/>
      <c r="C297" s="42"/>
      <c r="D297" s="42"/>
      <c r="E297" s="43"/>
      <c r="F297" s="43"/>
      <c r="G297" s="43"/>
      <c r="H297" s="43"/>
      <c r="I297" s="43"/>
      <c r="J297" s="45"/>
      <c r="K297" s="46"/>
      <c r="L297" s="31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4.5">
      <c r="A298" s="40"/>
      <c r="B298" s="41"/>
      <c r="C298" s="42"/>
      <c r="D298" s="42"/>
      <c r="E298" s="43"/>
      <c r="F298" s="43"/>
      <c r="G298" s="43"/>
      <c r="H298" s="43"/>
      <c r="I298" s="43"/>
      <c r="J298" s="45"/>
      <c r="K298" s="46"/>
      <c r="L298" s="31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4.5">
      <c r="A299" s="40"/>
      <c r="B299" s="41"/>
      <c r="C299" s="42"/>
      <c r="D299" s="42"/>
      <c r="E299" s="43"/>
      <c r="F299" s="43"/>
      <c r="G299" s="43"/>
      <c r="H299" s="43"/>
      <c r="I299" s="43"/>
      <c r="J299" s="45"/>
      <c r="K299" s="46"/>
      <c r="L299" s="31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4.5">
      <c r="A300" s="40"/>
      <c r="B300" s="41"/>
      <c r="C300" s="42"/>
      <c r="D300" s="42"/>
      <c r="E300" s="43"/>
      <c r="F300" s="43"/>
      <c r="G300" s="43"/>
      <c r="H300" s="43"/>
      <c r="I300" s="43"/>
      <c r="J300" s="45"/>
      <c r="K300" s="46"/>
      <c r="L300" s="31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4.5">
      <c r="A301" s="40"/>
      <c r="B301" s="41"/>
      <c r="C301" s="42"/>
      <c r="D301" s="42"/>
      <c r="E301" s="43"/>
      <c r="F301" s="43"/>
      <c r="G301" s="43"/>
      <c r="H301" s="43"/>
      <c r="I301" s="43"/>
      <c r="J301" s="45"/>
      <c r="K301" s="46"/>
      <c r="L301" s="31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4.5">
      <c r="A302" s="40"/>
      <c r="B302" s="41"/>
      <c r="C302" s="42"/>
      <c r="D302" s="42"/>
      <c r="E302" s="43"/>
      <c r="F302" s="43"/>
      <c r="G302" s="43"/>
      <c r="H302" s="43"/>
      <c r="I302" s="43"/>
      <c r="J302" s="45"/>
      <c r="K302" s="46"/>
      <c r="L302" s="31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4.5">
      <c r="A303" s="40"/>
      <c r="B303" s="41"/>
      <c r="C303" s="42"/>
      <c r="D303" s="42"/>
      <c r="E303" s="43"/>
      <c r="F303" s="43"/>
      <c r="G303" s="43"/>
      <c r="H303" s="43"/>
      <c r="I303" s="43"/>
      <c r="J303" s="45"/>
      <c r="K303" s="46"/>
      <c r="L303" s="31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4.5">
      <c r="A304" s="40"/>
      <c r="B304" s="41"/>
      <c r="C304" s="42"/>
      <c r="D304" s="42"/>
      <c r="E304" s="43"/>
      <c r="F304" s="43"/>
      <c r="G304" s="43"/>
      <c r="H304" s="43"/>
      <c r="I304" s="43"/>
      <c r="J304" s="45"/>
      <c r="K304" s="46"/>
      <c r="L304" s="31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4.5">
      <c r="A305" s="40"/>
      <c r="B305" s="41"/>
      <c r="C305" s="42"/>
      <c r="D305" s="42"/>
      <c r="E305" s="43"/>
      <c r="F305" s="43"/>
      <c r="G305" s="43"/>
      <c r="H305" s="43"/>
      <c r="I305" s="43"/>
      <c r="J305" s="45"/>
      <c r="K305" s="46"/>
      <c r="L305" s="31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4.5">
      <c r="A306" s="40"/>
      <c r="B306" s="41"/>
      <c r="C306" s="42"/>
      <c r="D306" s="42"/>
      <c r="E306" s="43"/>
      <c r="F306" s="43"/>
      <c r="G306" s="43"/>
      <c r="H306" s="43"/>
      <c r="I306" s="43"/>
      <c r="J306" s="45"/>
      <c r="K306" s="46"/>
      <c r="L306" s="31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4.5">
      <c r="A307" s="40"/>
      <c r="B307" s="41"/>
      <c r="C307" s="42"/>
      <c r="D307" s="42"/>
      <c r="E307" s="43"/>
      <c r="F307" s="43"/>
      <c r="G307" s="43"/>
      <c r="H307" s="43"/>
      <c r="I307" s="43"/>
      <c r="J307" s="45"/>
      <c r="K307" s="46"/>
      <c r="L307" s="31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4.5">
      <c r="A308" s="40"/>
      <c r="B308" s="41"/>
      <c r="C308" s="42"/>
      <c r="D308" s="42"/>
      <c r="E308" s="43"/>
      <c r="F308" s="43"/>
      <c r="G308" s="43"/>
      <c r="H308" s="43"/>
      <c r="I308" s="43"/>
      <c r="J308" s="45"/>
      <c r="K308" s="46"/>
      <c r="L308" s="31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4.5">
      <c r="A309" s="40"/>
      <c r="B309" s="41"/>
      <c r="C309" s="42"/>
      <c r="D309" s="42"/>
      <c r="E309" s="43"/>
      <c r="F309" s="43"/>
      <c r="G309" s="43"/>
      <c r="H309" s="43"/>
      <c r="I309" s="43"/>
      <c r="J309" s="45"/>
      <c r="K309" s="46"/>
      <c r="L309" s="31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4.5">
      <c r="A310" s="40"/>
      <c r="B310" s="41"/>
      <c r="C310" s="42"/>
      <c r="D310" s="42"/>
      <c r="E310" s="43"/>
      <c r="F310" s="43"/>
      <c r="G310" s="43"/>
      <c r="H310" s="43"/>
      <c r="I310" s="43"/>
      <c r="J310" s="45"/>
      <c r="K310" s="46"/>
      <c r="L310" s="31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4.5">
      <c r="A311" s="40"/>
      <c r="B311" s="41"/>
      <c r="C311" s="42"/>
      <c r="D311" s="42"/>
      <c r="E311" s="43"/>
      <c r="F311" s="43"/>
      <c r="G311" s="43"/>
      <c r="H311" s="43"/>
      <c r="I311" s="43"/>
      <c r="J311" s="45"/>
      <c r="K311" s="46"/>
      <c r="L311" s="31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4.5">
      <c r="A312" s="40"/>
      <c r="B312" s="41"/>
      <c r="C312" s="42"/>
      <c r="D312" s="42"/>
      <c r="E312" s="43"/>
      <c r="F312" s="43"/>
      <c r="G312" s="43"/>
      <c r="H312" s="43"/>
      <c r="I312" s="43"/>
      <c r="J312" s="45"/>
      <c r="K312" s="46"/>
      <c r="L312" s="31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4.5">
      <c r="A313" s="40"/>
      <c r="B313" s="41"/>
      <c r="C313" s="42"/>
      <c r="D313" s="42"/>
      <c r="E313" s="43"/>
      <c r="F313" s="43"/>
      <c r="G313" s="43"/>
      <c r="H313" s="43"/>
      <c r="I313" s="43"/>
      <c r="J313" s="45"/>
      <c r="K313" s="46"/>
      <c r="L313" s="31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4.5">
      <c r="A314" s="40"/>
      <c r="B314" s="41"/>
      <c r="C314" s="42"/>
      <c r="D314" s="42"/>
      <c r="E314" s="43"/>
      <c r="F314" s="43"/>
      <c r="G314" s="43"/>
      <c r="H314" s="43"/>
      <c r="I314" s="43"/>
      <c r="J314" s="45"/>
      <c r="K314" s="46"/>
      <c r="L314" s="31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4.5">
      <c r="A315" s="40"/>
      <c r="B315" s="41"/>
      <c r="C315" s="42"/>
      <c r="D315" s="42"/>
      <c r="E315" s="43"/>
      <c r="F315" s="43"/>
      <c r="G315" s="43"/>
      <c r="H315" s="43"/>
      <c r="I315" s="43"/>
      <c r="J315" s="45"/>
      <c r="K315" s="46"/>
      <c r="L315" s="31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4.5">
      <c r="A316" s="40"/>
      <c r="B316" s="41"/>
      <c r="C316" s="42"/>
      <c r="D316" s="42"/>
      <c r="E316" s="43"/>
      <c r="F316" s="43"/>
      <c r="G316" s="43"/>
      <c r="H316" s="43"/>
      <c r="I316" s="43"/>
      <c r="J316" s="45"/>
      <c r="K316" s="46"/>
      <c r="L316" s="31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4.5">
      <c r="A317" s="40"/>
      <c r="B317" s="41"/>
      <c r="C317" s="42"/>
      <c r="D317" s="42"/>
      <c r="E317" s="43"/>
      <c r="F317" s="43"/>
      <c r="G317" s="43"/>
      <c r="H317" s="43"/>
      <c r="I317" s="43"/>
      <c r="J317" s="45"/>
      <c r="K317" s="46"/>
      <c r="L317" s="31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4.5">
      <c r="A318" s="40"/>
      <c r="B318" s="41"/>
      <c r="C318" s="42"/>
      <c r="D318" s="42"/>
      <c r="E318" s="43"/>
      <c r="F318" s="43"/>
      <c r="G318" s="43"/>
      <c r="H318" s="43"/>
      <c r="I318" s="43"/>
      <c r="J318" s="45"/>
      <c r="K318" s="46"/>
      <c r="L318" s="31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4.5">
      <c r="A319" s="40"/>
      <c r="B319" s="41"/>
      <c r="C319" s="42"/>
      <c r="D319" s="42"/>
      <c r="E319" s="43"/>
      <c r="F319" s="43"/>
      <c r="G319" s="43"/>
      <c r="H319" s="43"/>
      <c r="I319" s="43"/>
      <c r="J319" s="45"/>
      <c r="K319" s="46"/>
      <c r="L319" s="31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4.5">
      <c r="A320" s="40"/>
      <c r="B320" s="41"/>
      <c r="C320" s="42"/>
      <c r="D320" s="42"/>
      <c r="E320" s="43"/>
      <c r="F320" s="43"/>
      <c r="G320" s="43"/>
      <c r="H320" s="43"/>
      <c r="I320" s="43"/>
      <c r="J320" s="45"/>
      <c r="K320" s="46"/>
      <c r="L320" s="31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4.5">
      <c r="A321" s="40"/>
      <c r="B321" s="41"/>
      <c r="C321" s="42"/>
      <c r="D321" s="42"/>
      <c r="E321" s="43"/>
      <c r="F321" s="43"/>
      <c r="G321" s="43"/>
      <c r="H321" s="43"/>
      <c r="I321" s="43"/>
      <c r="J321" s="45"/>
      <c r="K321" s="46"/>
      <c r="L321" s="31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4.5">
      <c r="A322" s="40"/>
      <c r="B322" s="41"/>
      <c r="C322" s="42"/>
      <c r="D322" s="42"/>
      <c r="E322" s="43"/>
      <c r="F322" s="43"/>
      <c r="G322" s="43"/>
      <c r="H322" s="43"/>
      <c r="I322" s="43"/>
      <c r="J322" s="45"/>
      <c r="K322" s="46"/>
      <c r="L322" s="31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4.5">
      <c r="A323" s="40"/>
      <c r="B323" s="41"/>
      <c r="C323" s="42"/>
      <c r="D323" s="42"/>
      <c r="E323" s="43"/>
      <c r="F323" s="43"/>
      <c r="G323" s="43"/>
      <c r="H323" s="43"/>
      <c r="I323" s="43"/>
      <c r="J323" s="45"/>
      <c r="K323" s="46"/>
      <c r="L323" s="31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4.5">
      <c r="A324" s="40"/>
      <c r="B324" s="41"/>
      <c r="C324" s="42"/>
      <c r="D324" s="42"/>
      <c r="E324" s="43"/>
      <c r="F324" s="43"/>
      <c r="G324" s="43"/>
      <c r="H324" s="43"/>
      <c r="I324" s="43"/>
      <c r="J324" s="45"/>
      <c r="K324" s="46"/>
      <c r="L324" s="31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4.5">
      <c r="A325" s="40"/>
      <c r="B325" s="41"/>
      <c r="C325" s="42"/>
      <c r="D325" s="42"/>
      <c r="E325" s="43"/>
      <c r="F325" s="43"/>
      <c r="G325" s="43"/>
      <c r="H325" s="43"/>
      <c r="I325" s="43"/>
      <c r="J325" s="45"/>
      <c r="K325" s="46"/>
      <c r="L325" s="31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4.5">
      <c r="A326" s="40"/>
      <c r="B326" s="41"/>
      <c r="C326" s="42"/>
      <c r="D326" s="42"/>
      <c r="E326" s="43"/>
      <c r="F326" s="43"/>
      <c r="G326" s="43"/>
      <c r="H326" s="43"/>
      <c r="I326" s="43"/>
      <c r="J326" s="45"/>
      <c r="K326" s="46"/>
      <c r="L326" s="31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4.5">
      <c r="A327" s="40"/>
      <c r="B327" s="41"/>
      <c r="C327" s="42"/>
      <c r="D327" s="42"/>
      <c r="E327" s="43"/>
      <c r="F327" s="43"/>
      <c r="G327" s="43"/>
      <c r="H327" s="43"/>
      <c r="I327" s="43"/>
      <c r="J327" s="45"/>
      <c r="K327" s="46"/>
      <c r="L327" s="31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4.5">
      <c r="A328" s="40"/>
      <c r="B328" s="41"/>
      <c r="C328" s="42"/>
      <c r="D328" s="42"/>
      <c r="E328" s="43"/>
      <c r="F328" s="43"/>
      <c r="G328" s="43"/>
      <c r="H328" s="43"/>
      <c r="I328" s="43"/>
      <c r="J328" s="45"/>
      <c r="K328" s="46"/>
      <c r="L328" s="31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4.5">
      <c r="A329" s="40"/>
      <c r="B329" s="41"/>
      <c r="C329" s="42"/>
      <c r="D329" s="42"/>
      <c r="E329" s="43"/>
      <c r="F329" s="43"/>
      <c r="G329" s="43"/>
      <c r="H329" s="43"/>
      <c r="I329" s="43"/>
      <c r="J329" s="45"/>
      <c r="K329" s="46"/>
      <c r="L329" s="31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4.5">
      <c r="A330" s="40"/>
      <c r="B330" s="41"/>
      <c r="C330" s="42"/>
      <c r="D330" s="42"/>
      <c r="E330" s="43"/>
      <c r="F330" s="43"/>
      <c r="G330" s="43"/>
      <c r="H330" s="43"/>
      <c r="I330" s="43"/>
      <c r="J330" s="45"/>
      <c r="K330" s="46"/>
      <c r="L330" s="31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4.5">
      <c r="A331" s="40"/>
      <c r="B331" s="41"/>
      <c r="C331" s="42"/>
      <c r="D331" s="42"/>
      <c r="E331" s="43"/>
      <c r="F331" s="43"/>
      <c r="G331" s="43"/>
      <c r="H331" s="43"/>
      <c r="I331" s="43"/>
      <c r="J331" s="45"/>
      <c r="K331" s="46"/>
      <c r="L331" s="31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4.5">
      <c r="A332" s="40"/>
      <c r="B332" s="41"/>
      <c r="C332" s="42"/>
      <c r="D332" s="42"/>
      <c r="E332" s="43"/>
      <c r="F332" s="43"/>
      <c r="G332" s="43"/>
      <c r="H332" s="43"/>
      <c r="I332" s="43"/>
      <c r="J332" s="45"/>
      <c r="K332" s="46"/>
      <c r="L332" s="31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4.5">
      <c r="A333" s="40"/>
      <c r="B333" s="41"/>
      <c r="C333" s="42"/>
      <c r="D333" s="42"/>
      <c r="E333" s="43"/>
      <c r="F333" s="43"/>
      <c r="G333" s="43"/>
      <c r="H333" s="43"/>
      <c r="I333" s="43"/>
      <c r="J333" s="45"/>
      <c r="K333" s="46"/>
      <c r="L333" s="31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4.5">
      <c r="A334" s="40"/>
      <c r="B334" s="41"/>
      <c r="C334" s="42"/>
      <c r="D334" s="42"/>
      <c r="E334" s="43"/>
      <c r="F334" s="43"/>
      <c r="G334" s="43"/>
      <c r="H334" s="43"/>
      <c r="I334" s="43"/>
      <c r="J334" s="45"/>
      <c r="K334" s="46"/>
      <c r="L334" s="31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4.5">
      <c r="A335" s="40"/>
      <c r="B335" s="41"/>
      <c r="C335" s="42"/>
      <c r="D335" s="42"/>
      <c r="E335" s="43"/>
      <c r="F335" s="43"/>
      <c r="G335" s="43"/>
      <c r="H335" s="43"/>
      <c r="I335" s="43"/>
      <c r="J335" s="45"/>
      <c r="K335" s="46"/>
      <c r="L335" s="31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4.5">
      <c r="A336" s="40"/>
      <c r="B336" s="41"/>
      <c r="C336" s="42"/>
      <c r="D336" s="42"/>
      <c r="E336" s="43"/>
      <c r="F336" s="43"/>
      <c r="G336" s="43"/>
      <c r="H336" s="43"/>
      <c r="I336" s="43"/>
      <c r="J336" s="45"/>
      <c r="K336" s="46"/>
      <c r="L336" s="31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4.5">
      <c r="A337" s="40"/>
      <c r="B337" s="41"/>
      <c r="C337" s="42"/>
      <c r="D337" s="42"/>
      <c r="E337" s="43"/>
      <c r="F337" s="43"/>
      <c r="G337" s="43"/>
      <c r="H337" s="43"/>
      <c r="I337" s="43"/>
      <c r="J337" s="45"/>
      <c r="K337" s="46"/>
      <c r="L337" s="31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4.5">
      <c r="A338" s="40"/>
      <c r="B338" s="41"/>
      <c r="C338" s="42"/>
      <c r="D338" s="42"/>
      <c r="E338" s="43"/>
      <c r="F338" s="43"/>
      <c r="G338" s="43"/>
      <c r="H338" s="43"/>
      <c r="I338" s="43"/>
      <c r="J338" s="45"/>
      <c r="K338" s="46"/>
      <c r="L338" s="31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4.5">
      <c r="A339" s="40"/>
      <c r="B339" s="41"/>
      <c r="C339" s="42"/>
      <c r="D339" s="42"/>
      <c r="E339" s="43"/>
      <c r="F339" s="43"/>
      <c r="G339" s="43"/>
      <c r="H339" s="43"/>
      <c r="I339" s="43"/>
      <c r="J339" s="45"/>
      <c r="K339" s="46"/>
      <c r="L339" s="31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4.5">
      <c r="A340" s="40"/>
      <c r="B340" s="41"/>
      <c r="C340" s="42"/>
      <c r="D340" s="42"/>
      <c r="E340" s="43"/>
      <c r="F340" s="43"/>
      <c r="G340" s="43"/>
      <c r="H340" s="43"/>
      <c r="I340" s="43"/>
      <c r="J340" s="45"/>
      <c r="K340" s="46"/>
      <c r="L340" s="31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4.5">
      <c r="A341" s="40"/>
      <c r="B341" s="41"/>
      <c r="C341" s="42"/>
      <c r="D341" s="42"/>
      <c r="E341" s="43"/>
      <c r="F341" s="43"/>
      <c r="G341" s="43"/>
      <c r="H341" s="43"/>
      <c r="I341" s="43"/>
      <c r="J341" s="45"/>
      <c r="K341" s="46"/>
      <c r="L341" s="31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4.5">
      <c r="A342" s="40"/>
      <c r="B342" s="41"/>
      <c r="C342" s="42"/>
      <c r="D342" s="42"/>
      <c r="E342" s="43"/>
      <c r="F342" s="43"/>
      <c r="G342" s="43"/>
      <c r="H342" s="43"/>
      <c r="I342" s="43"/>
      <c r="J342" s="45"/>
      <c r="K342" s="46"/>
      <c r="L342" s="31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4.5">
      <c r="A343" s="40"/>
      <c r="B343" s="41"/>
      <c r="C343" s="42"/>
      <c r="D343" s="42"/>
      <c r="E343" s="43"/>
      <c r="F343" s="43"/>
      <c r="G343" s="43"/>
      <c r="H343" s="43"/>
      <c r="I343" s="43"/>
      <c r="J343" s="45"/>
      <c r="K343" s="46"/>
      <c r="L343" s="31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4.5">
      <c r="A344" s="40"/>
      <c r="B344" s="41"/>
      <c r="C344" s="42"/>
      <c r="D344" s="42"/>
      <c r="E344" s="43"/>
      <c r="F344" s="43"/>
      <c r="G344" s="43"/>
      <c r="H344" s="43"/>
      <c r="I344" s="43"/>
      <c r="J344" s="45"/>
      <c r="K344" s="46"/>
      <c r="L344" s="31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4.5">
      <c r="A345" s="40"/>
      <c r="B345" s="41"/>
      <c r="C345" s="42"/>
      <c r="D345" s="42"/>
      <c r="E345" s="43"/>
      <c r="F345" s="43"/>
      <c r="G345" s="43"/>
      <c r="H345" s="43"/>
      <c r="I345" s="43"/>
      <c r="J345" s="45"/>
      <c r="K345" s="46"/>
      <c r="L345" s="31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4.5">
      <c r="A346" s="40"/>
      <c r="B346" s="41"/>
      <c r="C346" s="42"/>
      <c r="D346" s="42"/>
      <c r="E346" s="43"/>
      <c r="F346" s="43"/>
      <c r="G346" s="43"/>
      <c r="H346" s="43"/>
      <c r="I346" s="43"/>
      <c r="J346" s="45"/>
      <c r="K346" s="46"/>
      <c r="L346" s="31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4.5">
      <c r="A347" s="40"/>
      <c r="B347" s="41"/>
      <c r="C347" s="42"/>
      <c r="D347" s="42"/>
      <c r="E347" s="43"/>
      <c r="F347" s="43"/>
      <c r="G347" s="43"/>
      <c r="H347" s="43"/>
      <c r="I347" s="43"/>
      <c r="J347" s="45"/>
      <c r="K347" s="46"/>
      <c r="L347" s="31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4.5">
      <c r="A348" s="40"/>
      <c r="B348" s="41"/>
      <c r="C348" s="42"/>
      <c r="D348" s="42"/>
      <c r="E348" s="43"/>
      <c r="F348" s="43"/>
      <c r="G348" s="43"/>
      <c r="H348" s="43"/>
      <c r="I348" s="43"/>
      <c r="J348" s="45"/>
      <c r="K348" s="46"/>
      <c r="L348" s="31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4.5">
      <c r="A349" s="40"/>
      <c r="B349" s="41"/>
      <c r="C349" s="42"/>
      <c r="D349" s="42"/>
      <c r="E349" s="43"/>
      <c r="F349" s="43"/>
      <c r="G349" s="43"/>
      <c r="H349" s="43"/>
      <c r="I349" s="43"/>
      <c r="J349" s="45"/>
      <c r="K349" s="46"/>
      <c r="L349" s="31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4.5">
      <c r="A350" s="40"/>
      <c r="B350" s="41"/>
      <c r="C350" s="42"/>
      <c r="D350" s="42"/>
      <c r="E350" s="43"/>
      <c r="F350" s="43"/>
      <c r="G350" s="43"/>
      <c r="H350" s="43"/>
      <c r="I350" s="43"/>
      <c r="J350" s="45"/>
      <c r="K350" s="46"/>
      <c r="L350" s="31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4.5">
      <c r="A351" s="40"/>
      <c r="B351" s="41"/>
      <c r="C351" s="42"/>
      <c r="D351" s="42"/>
      <c r="E351" s="43"/>
      <c r="F351" s="43"/>
      <c r="G351" s="43"/>
      <c r="H351" s="43"/>
      <c r="I351" s="43"/>
      <c r="J351" s="45"/>
      <c r="K351" s="46"/>
      <c r="L351" s="31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4.5">
      <c r="A352" s="40"/>
      <c r="B352" s="41"/>
      <c r="C352" s="42"/>
      <c r="D352" s="42"/>
      <c r="E352" s="43"/>
      <c r="F352" s="43"/>
      <c r="G352" s="43"/>
      <c r="H352" s="43"/>
      <c r="I352" s="43"/>
      <c r="J352" s="45"/>
      <c r="K352" s="46"/>
      <c r="L352" s="31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4.5">
      <c r="A353" s="40"/>
      <c r="B353" s="41"/>
      <c r="C353" s="42"/>
      <c r="D353" s="42"/>
      <c r="E353" s="43"/>
      <c r="F353" s="43"/>
      <c r="G353" s="43"/>
      <c r="H353" s="43"/>
      <c r="I353" s="43"/>
      <c r="J353" s="45"/>
      <c r="K353" s="46"/>
      <c r="L353" s="31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4.5">
      <c r="A354" s="40"/>
      <c r="B354" s="41"/>
      <c r="C354" s="42"/>
      <c r="D354" s="42"/>
      <c r="E354" s="43"/>
      <c r="F354" s="43"/>
      <c r="G354" s="43"/>
      <c r="H354" s="43"/>
      <c r="I354" s="43"/>
      <c r="J354" s="45"/>
      <c r="K354" s="46"/>
      <c r="L354" s="31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4.5">
      <c r="A355" s="40"/>
      <c r="B355" s="41"/>
      <c r="C355" s="42"/>
      <c r="D355" s="42"/>
      <c r="E355" s="43"/>
      <c r="F355" s="43"/>
      <c r="G355" s="43"/>
      <c r="H355" s="43"/>
      <c r="I355" s="43"/>
      <c r="J355" s="45"/>
      <c r="K355" s="46"/>
      <c r="L355" s="31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4.5">
      <c r="A356" s="40"/>
      <c r="B356" s="41"/>
      <c r="C356" s="42"/>
      <c r="D356" s="42"/>
      <c r="E356" s="43"/>
      <c r="F356" s="43"/>
      <c r="G356" s="43"/>
      <c r="H356" s="43"/>
      <c r="I356" s="43"/>
      <c r="J356" s="45"/>
      <c r="K356" s="46"/>
      <c r="L356" s="31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4.5">
      <c r="A357" s="40"/>
      <c r="B357" s="41"/>
      <c r="C357" s="42"/>
      <c r="D357" s="42"/>
      <c r="E357" s="43"/>
      <c r="F357" s="43"/>
      <c r="G357" s="43"/>
      <c r="H357" s="43"/>
      <c r="I357" s="43"/>
      <c r="J357" s="45"/>
      <c r="K357" s="46"/>
      <c r="L357" s="31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4.5">
      <c r="A358" s="40"/>
      <c r="B358" s="41"/>
      <c r="C358" s="42"/>
      <c r="D358" s="42"/>
      <c r="E358" s="43"/>
      <c r="F358" s="43"/>
      <c r="G358" s="43"/>
      <c r="H358" s="43"/>
      <c r="I358" s="43"/>
      <c r="J358" s="45"/>
      <c r="K358" s="46"/>
      <c r="L358" s="31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4.5">
      <c r="A359" s="40"/>
      <c r="B359" s="41"/>
      <c r="C359" s="42"/>
      <c r="D359" s="42"/>
      <c r="E359" s="43"/>
      <c r="F359" s="43"/>
      <c r="G359" s="43"/>
      <c r="H359" s="43"/>
      <c r="I359" s="43"/>
      <c r="J359" s="45"/>
      <c r="K359" s="46"/>
      <c r="L359" s="31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4.5">
      <c r="A360" s="40"/>
      <c r="B360" s="41"/>
      <c r="C360" s="42"/>
      <c r="D360" s="42"/>
      <c r="E360" s="43"/>
      <c r="F360" s="43"/>
      <c r="G360" s="43"/>
      <c r="H360" s="43"/>
      <c r="I360" s="43"/>
      <c r="J360" s="45"/>
      <c r="K360" s="46"/>
      <c r="L360" s="31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4.5">
      <c r="A361" s="40"/>
      <c r="B361" s="41"/>
      <c r="C361" s="42"/>
      <c r="D361" s="42"/>
      <c r="E361" s="43"/>
      <c r="F361" s="43"/>
      <c r="G361" s="43"/>
      <c r="H361" s="43"/>
      <c r="I361" s="43"/>
      <c r="J361" s="45"/>
      <c r="K361" s="46"/>
      <c r="L361" s="31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4.5">
      <c r="A362" s="40"/>
      <c r="B362" s="41"/>
      <c r="C362" s="42"/>
      <c r="D362" s="42"/>
      <c r="E362" s="43"/>
      <c r="F362" s="43"/>
      <c r="G362" s="43"/>
      <c r="H362" s="43"/>
      <c r="I362" s="43"/>
      <c r="J362" s="45"/>
      <c r="K362" s="46"/>
      <c r="L362" s="31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4.5">
      <c r="A363" s="40"/>
      <c r="B363" s="41"/>
      <c r="C363" s="42"/>
      <c r="D363" s="42"/>
      <c r="E363" s="43"/>
      <c r="F363" s="43"/>
      <c r="G363" s="43"/>
      <c r="H363" s="43"/>
      <c r="I363" s="43"/>
      <c r="J363" s="45"/>
      <c r="K363" s="46"/>
      <c r="L363" s="31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4.5">
      <c r="A364" s="40"/>
      <c r="B364" s="41"/>
      <c r="C364" s="42"/>
      <c r="D364" s="42"/>
      <c r="E364" s="43"/>
      <c r="F364" s="43"/>
      <c r="G364" s="43"/>
      <c r="H364" s="43"/>
      <c r="I364" s="43"/>
      <c r="J364" s="45"/>
      <c r="K364" s="46"/>
      <c r="L364" s="31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4.5">
      <c r="A365" s="40"/>
      <c r="B365" s="41"/>
      <c r="C365" s="42"/>
      <c r="D365" s="42"/>
      <c r="E365" s="43"/>
      <c r="F365" s="43"/>
      <c r="G365" s="43"/>
      <c r="H365" s="43"/>
      <c r="I365" s="43"/>
      <c r="J365" s="45"/>
      <c r="K365" s="46"/>
      <c r="L365" s="31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4.5">
      <c r="A366" s="40"/>
      <c r="B366" s="41"/>
      <c r="C366" s="42"/>
      <c r="D366" s="42"/>
      <c r="E366" s="43"/>
      <c r="F366" s="43"/>
      <c r="G366" s="43"/>
      <c r="H366" s="43"/>
      <c r="I366" s="43"/>
      <c r="J366" s="45"/>
      <c r="K366" s="46"/>
      <c r="L366" s="31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4.5">
      <c r="A367" s="40"/>
      <c r="B367" s="41"/>
      <c r="C367" s="42"/>
      <c r="D367" s="42"/>
      <c r="E367" s="43"/>
      <c r="F367" s="43"/>
      <c r="G367" s="43"/>
      <c r="H367" s="43"/>
      <c r="I367" s="43"/>
      <c r="J367" s="45"/>
      <c r="K367" s="46"/>
      <c r="L367" s="31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4.5">
      <c r="A368" s="40"/>
      <c r="B368" s="41"/>
      <c r="C368" s="42"/>
      <c r="D368" s="42"/>
      <c r="E368" s="43"/>
      <c r="F368" s="43"/>
      <c r="G368" s="43"/>
      <c r="H368" s="43"/>
      <c r="I368" s="43"/>
      <c r="J368" s="45"/>
      <c r="K368" s="46"/>
      <c r="L368" s="31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4.5">
      <c r="A369" s="40"/>
      <c r="B369" s="41"/>
      <c r="C369" s="42"/>
      <c r="D369" s="42"/>
      <c r="E369" s="43"/>
      <c r="F369" s="43"/>
      <c r="G369" s="43"/>
      <c r="H369" s="43"/>
      <c r="I369" s="43"/>
      <c r="J369" s="45"/>
      <c r="K369" s="46"/>
      <c r="L369" s="31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4.5">
      <c r="A370" s="40"/>
      <c r="B370" s="41"/>
      <c r="C370" s="42"/>
      <c r="D370" s="42"/>
      <c r="E370" s="43"/>
      <c r="F370" s="43"/>
      <c r="G370" s="43"/>
      <c r="H370" s="43"/>
      <c r="I370" s="43"/>
      <c r="J370" s="45"/>
      <c r="K370" s="46"/>
      <c r="L370" s="31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4.5">
      <c r="A371" s="40"/>
      <c r="B371" s="41"/>
      <c r="C371" s="42"/>
      <c r="D371" s="42"/>
      <c r="E371" s="43"/>
      <c r="F371" s="43"/>
      <c r="G371" s="43"/>
      <c r="H371" s="43"/>
      <c r="I371" s="43"/>
      <c r="J371" s="45"/>
      <c r="K371" s="46"/>
      <c r="L371" s="31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4.5">
      <c r="A372" s="40"/>
      <c r="B372" s="41"/>
      <c r="C372" s="42"/>
      <c r="D372" s="42"/>
      <c r="E372" s="43"/>
      <c r="F372" s="43"/>
      <c r="G372" s="43"/>
      <c r="H372" s="43"/>
      <c r="I372" s="43"/>
      <c r="J372" s="45"/>
      <c r="K372" s="46"/>
      <c r="L372" s="31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4.5">
      <c r="A373" s="40"/>
      <c r="B373" s="41"/>
      <c r="C373" s="42"/>
      <c r="D373" s="42"/>
      <c r="E373" s="43"/>
      <c r="F373" s="43"/>
      <c r="G373" s="43"/>
      <c r="H373" s="43"/>
      <c r="I373" s="43"/>
      <c r="J373" s="45"/>
      <c r="K373" s="46"/>
      <c r="L373" s="31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4.5">
      <c r="A374" s="40"/>
      <c r="B374" s="41"/>
      <c r="C374" s="42"/>
      <c r="D374" s="42"/>
      <c r="E374" s="43"/>
      <c r="F374" s="43"/>
      <c r="G374" s="43"/>
      <c r="H374" s="43"/>
      <c r="I374" s="43"/>
      <c r="J374" s="45"/>
      <c r="K374" s="46"/>
      <c r="L374" s="31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4.5">
      <c r="A375" s="40"/>
      <c r="B375" s="41"/>
      <c r="C375" s="42"/>
      <c r="D375" s="42"/>
      <c r="E375" s="43"/>
      <c r="F375" s="43"/>
      <c r="G375" s="43"/>
      <c r="H375" s="43"/>
      <c r="I375" s="43"/>
      <c r="J375" s="45"/>
      <c r="K375" s="46"/>
      <c r="L375" s="31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4.5">
      <c r="A376" s="40"/>
      <c r="B376" s="41"/>
      <c r="C376" s="42"/>
      <c r="D376" s="42"/>
      <c r="E376" s="43"/>
      <c r="F376" s="43"/>
      <c r="G376" s="43"/>
      <c r="H376" s="43"/>
      <c r="I376" s="43"/>
      <c r="J376" s="45"/>
      <c r="K376" s="46"/>
      <c r="L376" s="31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4.5">
      <c r="A377" s="40"/>
      <c r="B377" s="41"/>
      <c r="C377" s="42"/>
      <c r="D377" s="42"/>
      <c r="E377" s="43"/>
      <c r="F377" s="43"/>
      <c r="G377" s="43"/>
      <c r="H377" s="43"/>
      <c r="I377" s="43"/>
      <c r="J377" s="45"/>
      <c r="K377" s="46"/>
      <c r="L377" s="31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4.5">
      <c r="A378" s="40"/>
      <c r="B378" s="41"/>
      <c r="C378" s="42"/>
      <c r="D378" s="42"/>
      <c r="E378" s="43"/>
      <c r="F378" s="43"/>
      <c r="G378" s="43"/>
      <c r="H378" s="43"/>
      <c r="I378" s="43"/>
      <c r="J378" s="45"/>
      <c r="K378" s="46"/>
      <c r="L378" s="31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4.5">
      <c r="A379" s="40"/>
      <c r="B379" s="41"/>
      <c r="C379" s="42"/>
      <c r="D379" s="42"/>
      <c r="E379" s="43"/>
      <c r="F379" s="43"/>
      <c r="G379" s="43"/>
      <c r="H379" s="43"/>
      <c r="I379" s="43"/>
      <c r="J379" s="45"/>
      <c r="K379" s="46"/>
      <c r="L379" s="31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4.5">
      <c r="A380" s="40"/>
      <c r="B380" s="41"/>
      <c r="C380" s="42"/>
      <c r="D380" s="42"/>
      <c r="E380" s="43"/>
      <c r="F380" s="43"/>
      <c r="G380" s="43"/>
      <c r="H380" s="43"/>
      <c r="I380" s="43"/>
      <c r="J380" s="45"/>
      <c r="K380" s="46"/>
      <c r="L380" s="31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4.5">
      <c r="A381" s="40"/>
      <c r="B381" s="41"/>
      <c r="C381" s="42"/>
      <c r="D381" s="42"/>
      <c r="E381" s="43"/>
      <c r="F381" s="43"/>
      <c r="G381" s="43"/>
      <c r="H381" s="43"/>
      <c r="I381" s="43"/>
      <c r="J381" s="45"/>
      <c r="K381" s="46"/>
      <c r="L381" s="31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4.5">
      <c r="A382" s="40"/>
      <c r="B382" s="41"/>
      <c r="C382" s="42"/>
      <c r="D382" s="42"/>
      <c r="E382" s="43"/>
      <c r="F382" s="43"/>
      <c r="G382" s="43"/>
      <c r="H382" s="43"/>
      <c r="I382" s="43"/>
      <c r="J382" s="45"/>
      <c r="K382" s="46"/>
      <c r="L382" s="31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4.5">
      <c r="A383" s="40"/>
      <c r="B383" s="41"/>
      <c r="C383" s="42"/>
      <c r="D383" s="42"/>
      <c r="E383" s="43"/>
      <c r="F383" s="43"/>
      <c r="G383" s="43"/>
      <c r="H383" s="43"/>
      <c r="I383" s="43"/>
      <c r="J383" s="45"/>
      <c r="K383" s="46"/>
      <c r="L383" s="31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4.5">
      <c r="A384" s="40"/>
      <c r="B384" s="41"/>
      <c r="C384" s="42"/>
      <c r="D384" s="42"/>
      <c r="E384" s="43"/>
      <c r="F384" s="43"/>
      <c r="G384" s="43"/>
      <c r="H384" s="43"/>
      <c r="I384" s="43"/>
      <c r="J384" s="45"/>
      <c r="K384" s="46"/>
      <c r="L384" s="31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4.5">
      <c r="A385" s="40"/>
      <c r="B385" s="41"/>
      <c r="C385" s="42"/>
      <c r="D385" s="42"/>
      <c r="E385" s="43"/>
      <c r="F385" s="43"/>
      <c r="G385" s="43"/>
      <c r="H385" s="43"/>
      <c r="I385" s="43"/>
      <c r="J385" s="45"/>
      <c r="K385" s="46"/>
      <c r="L385" s="31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4.5">
      <c r="A386" s="40"/>
      <c r="B386" s="41"/>
      <c r="C386" s="42"/>
      <c r="D386" s="42"/>
      <c r="E386" s="43"/>
      <c r="F386" s="43"/>
      <c r="G386" s="43"/>
      <c r="H386" s="43"/>
      <c r="I386" s="43"/>
      <c r="J386" s="45"/>
      <c r="K386" s="46"/>
      <c r="L386" s="31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4.5">
      <c r="A387" s="40"/>
      <c r="B387" s="41"/>
      <c r="C387" s="42"/>
      <c r="D387" s="42"/>
      <c r="E387" s="43"/>
      <c r="F387" s="43"/>
      <c r="G387" s="43"/>
      <c r="H387" s="43"/>
      <c r="I387" s="43"/>
      <c r="J387" s="45"/>
      <c r="K387" s="46"/>
      <c r="L387" s="31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4.5">
      <c r="A388" s="40"/>
      <c r="B388" s="41"/>
      <c r="C388" s="42"/>
      <c r="D388" s="42"/>
      <c r="E388" s="43"/>
      <c r="F388" s="43"/>
      <c r="G388" s="43"/>
      <c r="H388" s="43"/>
      <c r="I388" s="43"/>
      <c r="J388" s="45"/>
      <c r="K388" s="46"/>
      <c r="L388" s="31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4.5">
      <c r="A389" s="40"/>
      <c r="B389" s="41"/>
      <c r="C389" s="42"/>
      <c r="D389" s="42"/>
      <c r="E389" s="43"/>
      <c r="F389" s="43"/>
      <c r="G389" s="43"/>
      <c r="H389" s="43"/>
      <c r="I389" s="43"/>
      <c r="J389" s="45"/>
      <c r="K389" s="46"/>
      <c r="L389" s="31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4.5">
      <c r="A390" s="40"/>
      <c r="B390" s="41"/>
      <c r="C390" s="42"/>
      <c r="D390" s="42"/>
      <c r="E390" s="43"/>
      <c r="F390" s="43"/>
      <c r="G390" s="43"/>
      <c r="H390" s="43"/>
      <c r="I390" s="43"/>
      <c r="J390" s="45"/>
      <c r="K390" s="46"/>
      <c r="L390" s="31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4.5">
      <c r="A391" s="40"/>
      <c r="B391" s="41"/>
      <c r="C391" s="42"/>
      <c r="D391" s="42"/>
      <c r="E391" s="43"/>
      <c r="F391" s="43"/>
      <c r="G391" s="43"/>
      <c r="H391" s="43"/>
      <c r="I391" s="43"/>
      <c r="J391" s="45"/>
      <c r="K391" s="46"/>
      <c r="L391" s="31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4.5">
      <c r="A392" s="40"/>
      <c r="B392" s="41"/>
      <c r="C392" s="42"/>
      <c r="D392" s="42"/>
      <c r="E392" s="43"/>
      <c r="F392" s="43"/>
      <c r="G392" s="43"/>
      <c r="H392" s="43"/>
      <c r="I392" s="43"/>
      <c r="J392" s="45"/>
      <c r="K392" s="46"/>
      <c r="L392" s="31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4.5">
      <c r="A393" s="40"/>
      <c r="B393" s="41"/>
      <c r="C393" s="42"/>
      <c r="D393" s="42"/>
      <c r="E393" s="43"/>
      <c r="F393" s="43"/>
      <c r="G393" s="43"/>
      <c r="H393" s="43"/>
      <c r="I393" s="43"/>
      <c r="J393" s="45"/>
      <c r="K393" s="46"/>
      <c r="L393" s="31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4.5">
      <c r="A394" s="40"/>
      <c r="B394" s="41"/>
      <c r="C394" s="42"/>
      <c r="D394" s="42"/>
      <c r="E394" s="43"/>
      <c r="F394" s="43"/>
      <c r="G394" s="43"/>
      <c r="H394" s="43"/>
      <c r="I394" s="43"/>
      <c r="J394" s="45"/>
      <c r="K394" s="46"/>
      <c r="L394" s="31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4.5">
      <c r="A395" s="40"/>
      <c r="B395" s="41"/>
      <c r="C395" s="42"/>
      <c r="D395" s="42"/>
      <c r="E395" s="43"/>
      <c r="F395" s="43"/>
      <c r="G395" s="43"/>
      <c r="H395" s="43"/>
      <c r="I395" s="43"/>
      <c r="J395" s="45"/>
      <c r="K395" s="46"/>
      <c r="L395" s="31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4.5">
      <c r="A396" s="40"/>
      <c r="B396" s="41"/>
      <c r="C396" s="42"/>
      <c r="D396" s="42"/>
      <c r="E396" s="43"/>
      <c r="F396" s="43"/>
      <c r="G396" s="43"/>
      <c r="H396" s="43"/>
      <c r="I396" s="43"/>
      <c r="J396" s="45"/>
      <c r="K396" s="46"/>
      <c r="L396" s="31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4.5">
      <c r="A397" s="40"/>
      <c r="B397" s="41"/>
      <c r="C397" s="42"/>
      <c r="D397" s="42"/>
      <c r="E397" s="43"/>
      <c r="F397" s="43"/>
      <c r="G397" s="43"/>
      <c r="H397" s="43"/>
      <c r="I397" s="43"/>
      <c r="J397" s="45"/>
      <c r="K397" s="46"/>
      <c r="L397" s="31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4.5">
      <c r="A398" s="40"/>
      <c r="B398" s="41"/>
      <c r="C398" s="42"/>
      <c r="D398" s="42"/>
      <c r="E398" s="43"/>
      <c r="F398" s="43"/>
      <c r="G398" s="43"/>
      <c r="H398" s="43"/>
      <c r="I398" s="43"/>
      <c r="J398" s="45"/>
      <c r="K398" s="46"/>
      <c r="L398" s="31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4.5">
      <c r="A399" s="40"/>
      <c r="B399" s="41"/>
      <c r="C399" s="42"/>
      <c r="D399" s="42"/>
      <c r="E399" s="43"/>
      <c r="F399" s="43"/>
      <c r="G399" s="43"/>
      <c r="H399" s="43"/>
      <c r="I399" s="43"/>
      <c r="J399" s="45"/>
      <c r="K399" s="46"/>
      <c r="L399" s="31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4.5">
      <c r="A400" s="40"/>
      <c r="B400" s="41"/>
      <c r="C400" s="42"/>
      <c r="D400" s="42"/>
      <c r="E400" s="43"/>
      <c r="F400" s="43"/>
      <c r="G400" s="43"/>
      <c r="H400" s="43"/>
      <c r="I400" s="43"/>
      <c r="J400" s="45"/>
      <c r="K400" s="46"/>
      <c r="L400" s="31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4.5">
      <c r="A401" s="40"/>
      <c r="B401" s="41"/>
      <c r="C401" s="42"/>
      <c r="D401" s="42"/>
      <c r="E401" s="43"/>
      <c r="F401" s="43"/>
      <c r="G401" s="43"/>
      <c r="H401" s="43"/>
      <c r="I401" s="43"/>
      <c r="J401" s="45"/>
      <c r="K401" s="46"/>
      <c r="L401" s="31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4.5">
      <c r="A402" s="40"/>
      <c r="B402" s="41"/>
      <c r="C402" s="42"/>
      <c r="D402" s="42"/>
      <c r="E402" s="43"/>
      <c r="F402" s="43"/>
      <c r="G402" s="43"/>
      <c r="H402" s="43"/>
      <c r="I402" s="43"/>
      <c r="J402" s="45"/>
      <c r="K402" s="46"/>
      <c r="L402" s="31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4.5">
      <c r="A403" s="40"/>
      <c r="B403" s="41"/>
      <c r="C403" s="42"/>
      <c r="D403" s="42"/>
      <c r="E403" s="43"/>
      <c r="F403" s="43"/>
      <c r="G403" s="43"/>
      <c r="H403" s="43"/>
      <c r="I403" s="43"/>
      <c r="J403" s="45"/>
      <c r="K403" s="46"/>
      <c r="L403" s="31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4.5">
      <c r="A404" s="40"/>
      <c r="B404" s="41"/>
      <c r="C404" s="42"/>
      <c r="D404" s="42"/>
      <c r="E404" s="43"/>
      <c r="F404" s="43"/>
      <c r="G404" s="43"/>
      <c r="H404" s="43"/>
      <c r="I404" s="43"/>
      <c r="J404" s="45"/>
      <c r="K404" s="46"/>
      <c r="L404" s="31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4.5">
      <c r="A405" s="40"/>
      <c r="B405" s="41"/>
      <c r="C405" s="42"/>
      <c r="D405" s="42"/>
      <c r="E405" s="43"/>
      <c r="F405" s="43"/>
      <c r="G405" s="43"/>
      <c r="H405" s="43"/>
      <c r="I405" s="43"/>
      <c r="J405" s="45"/>
      <c r="K405" s="46"/>
      <c r="L405" s="31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4.5">
      <c r="A406" s="40"/>
      <c r="B406" s="41"/>
      <c r="C406" s="42"/>
      <c r="D406" s="42"/>
      <c r="E406" s="43"/>
      <c r="F406" s="43"/>
      <c r="G406" s="43"/>
      <c r="H406" s="43"/>
      <c r="I406" s="43"/>
      <c r="J406" s="45"/>
      <c r="K406" s="46"/>
      <c r="L406" s="31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4.5">
      <c r="A407" s="40"/>
      <c r="B407" s="41"/>
      <c r="C407" s="42"/>
      <c r="D407" s="42"/>
      <c r="E407" s="43"/>
      <c r="F407" s="43"/>
      <c r="G407" s="43"/>
      <c r="H407" s="43"/>
      <c r="I407" s="43"/>
      <c r="J407" s="45"/>
      <c r="K407" s="46"/>
      <c r="L407" s="31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4.5">
      <c r="A408" s="40"/>
      <c r="B408" s="41"/>
      <c r="C408" s="42"/>
      <c r="D408" s="42"/>
      <c r="E408" s="43"/>
      <c r="F408" s="43"/>
      <c r="G408" s="43"/>
      <c r="H408" s="43"/>
      <c r="I408" s="43"/>
      <c r="J408" s="45"/>
      <c r="K408" s="46"/>
      <c r="L408" s="31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4.5">
      <c r="A409" s="40"/>
      <c r="B409" s="41"/>
      <c r="C409" s="42"/>
      <c r="D409" s="42"/>
      <c r="E409" s="43"/>
      <c r="F409" s="43"/>
      <c r="G409" s="43"/>
      <c r="H409" s="43"/>
      <c r="I409" s="43"/>
      <c r="J409" s="45"/>
      <c r="K409" s="46"/>
      <c r="L409" s="31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4.5">
      <c r="A410" s="40"/>
      <c r="B410" s="41"/>
      <c r="C410" s="42"/>
      <c r="D410" s="42"/>
      <c r="E410" s="43"/>
      <c r="F410" s="43"/>
      <c r="G410" s="43"/>
      <c r="H410" s="43"/>
      <c r="I410" s="43"/>
      <c r="J410" s="45"/>
      <c r="K410" s="46"/>
      <c r="L410" s="31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4.5">
      <c r="A411" s="40"/>
      <c r="B411" s="41"/>
      <c r="C411" s="42"/>
      <c r="D411" s="42"/>
      <c r="E411" s="43"/>
      <c r="F411" s="43"/>
      <c r="G411" s="43"/>
      <c r="H411" s="43"/>
      <c r="I411" s="43"/>
      <c r="J411" s="45"/>
      <c r="K411" s="46"/>
      <c r="L411" s="31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4.5">
      <c r="A412" s="40"/>
      <c r="B412" s="41"/>
      <c r="C412" s="42"/>
      <c r="D412" s="42"/>
      <c r="E412" s="43"/>
      <c r="F412" s="43"/>
      <c r="G412" s="43"/>
      <c r="H412" s="43"/>
      <c r="I412" s="43"/>
      <c r="J412" s="45"/>
      <c r="K412" s="46"/>
      <c r="L412" s="31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4.5">
      <c r="A413" s="40"/>
      <c r="B413" s="41"/>
      <c r="C413" s="42"/>
      <c r="D413" s="42"/>
      <c r="E413" s="43"/>
      <c r="F413" s="43"/>
      <c r="G413" s="43"/>
      <c r="H413" s="43"/>
      <c r="I413" s="43"/>
      <c r="J413" s="45"/>
      <c r="K413" s="46"/>
      <c r="L413" s="31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4.5">
      <c r="A414" s="40"/>
      <c r="B414" s="41"/>
      <c r="C414" s="42"/>
      <c r="D414" s="42"/>
      <c r="E414" s="43"/>
      <c r="F414" s="43"/>
      <c r="G414" s="43"/>
      <c r="H414" s="43"/>
      <c r="I414" s="43"/>
      <c r="J414" s="45"/>
      <c r="K414" s="46"/>
      <c r="L414" s="31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4.5">
      <c r="A415" s="40"/>
      <c r="B415" s="41"/>
      <c r="C415" s="42"/>
      <c r="D415" s="42"/>
      <c r="E415" s="43"/>
      <c r="F415" s="43"/>
      <c r="G415" s="43"/>
      <c r="H415" s="43"/>
      <c r="I415" s="43"/>
      <c r="J415" s="45"/>
      <c r="K415" s="46"/>
      <c r="L415" s="31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4.5">
      <c r="A416" s="40"/>
      <c r="B416" s="41"/>
      <c r="C416" s="42"/>
      <c r="D416" s="42"/>
      <c r="E416" s="43"/>
      <c r="F416" s="43"/>
      <c r="G416" s="43"/>
      <c r="H416" s="43"/>
      <c r="I416" s="43"/>
      <c r="J416" s="45"/>
      <c r="K416" s="46"/>
      <c r="L416" s="31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4.5">
      <c r="A417" s="40"/>
      <c r="B417" s="41"/>
      <c r="C417" s="42"/>
      <c r="D417" s="42"/>
      <c r="E417" s="43"/>
      <c r="F417" s="43"/>
      <c r="G417" s="43"/>
      <c r="H417" s="43"/>
      <c r="I417" s="43"/>
      <c r="J417" s="45"/>
      <c r="K417" s="46"/>
      <c r="L417" s="31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4.5">
      <c r="A418" s="40"/>
      <c r="B418" s="41"/>
      <c r="C418" s="42"/>
      <c r="D418" s="42"/>
      <c r="E418" s="43"/>
      <c r="F418" s="43"/>
      <c r="G418" s="43"/>
      <c r="H418" s="43"/>
      <c r="I418" s="43"/>
      <c r="J418" s="45"/>
      <c r="K418" s="46"/>
      <c r="L418" s="31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4.5">
      <c r="A419" s="40"/>
      <c r="B419" s="41"/>
      <c r="C419" s="42"/>
      <c r="D419" s="42"/>
      <c r="E419" s="43"/>
      <c r="F419" s="43"/>
      <c r="G419" s="43"/>
      <c r="H419" s="43"/>
      <c r="I419" s="43"/>
      <c r="J419" s="45"/>
      <c r="K419" s="46"/>
      <c r="L419" s="31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4.5">
      <c r="A420" s="40"/>
      <c r="B420" s="41"/>
      <c r="C420" s="42"/>
      <c r="D420" s="42"/>
      <c r="E420" s="43"/>
      <c r="F420" s="43"/>
      <c r="G420" s="43"/>
      <c r="H420" s="43"/>
      <c r="I420" s="43"/>
      <c r="J420" s="45"/>
      <c r="K420" s="46"/>
      <c r="L420" s="31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4.5">
      <c r="A421" s="40"/>
      <c r="B421" s="41"/>
      <c r="C421" s="42"/>
      <c r="D421" s="42"/>
      <c r="E421" s="43"/>
      <c r="F421" s="43"/>
      <c r="G421" s="43"/>
      <c r="H421" s="43"/>
      <c r="I421" s="43"/>
      <c r="J421" s="45"/>
      <c r="K421" s="46"/>
      <c r="L421" s="31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4.5">
      <c r="A422" s="40"/>
      <c r="B422" s="41"/>
      <c r="C422" s="42"/>
      <c r="D422" s="42"/>
      <c r="E422" s="43"/>
      <c r="F422" s="43"/>
      <c r="G422" s="43"/>
      <c r="H422" s="43"/>
      <c r="I422" s="43"/>
      <c r="J422" s="45"/>
      <c r="K422" s="46"/>
      <c r="L422" s="31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4.5">
      <c r="A423" s="40"/>
      <c r="B423" s="41"/>
      <c r="C423" s="42"/>
      <c r="D423" s="42"/>
      <c r="E423" s="43"/>
      <c r="F423" s="43"/>
      <c r="G423" s="43"/>
      <c r="H423" s="43"/>
      <c r="I423" s="43"/>
      <c r="J423" s="45"/>
      <c r="K423" s="46"/>
      <c r="L423" s="31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4.5">
      <c r="A424" s="40"/>
      <c r="B424" s="41"/>
      <c r="C424" s="42"/>
      <c r="D424" s="42"/>
      <c r="E424" s="43"/>
      <c r="F424" s="43"/>
      <c r="G424" s="43"/>
      <c r="H424" s="43"/>
      <c r="I424" s="43"/>
      <c r="J424" s="45"/>
      <c r="K424" s="46"/>
      <c r="L424" s="31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4.5">
      <c r="A425" s="40"/>
      <c r="B425" s="41"/>
      <c r="C425" s="42"/>
      <c r="D425" s="42"/>
      <c r="E425" s="43"/>
      <c r="F425" s="43"/>
      <c r="G425" s="43"/>
      <c r="H425" s="43"/>
      <c r="I425" s="43"/>
      <c r="J425" s="45"/>
      <c r="K425" s="46"/>
      <c r="L425" s="31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4.5">
      <c r="A426" s="40"/>
      <c r="B426" s="41"/>
      <c r="C426" s="42"/>
      <c r="D426" s="42"/>
      <c r="E426" s="43"/>
      <c r="F426" s="43"/>
      <c r="G426" s="43"/>
      <c r="H426" s="43"/>
      <c r="I426" s="43"/>
      <c r="J426" s="45"/>
      <c r="K426" s="46"/>
      <c r="L426" s="31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4.5">
      <c r="A427" s="40"/>
      <c r="B427" s="41"/>
      <c r="C427" s="42"/>
      <c r="D427" s="42"/>
      <c r="E427" s="43"/>
      <c r="F427" s="43"/>
      <c r="G427" s="43"/>
      <c r="H427" s="43"/>
      <c r="I427" s="43"/>
      <c r="J427" s="45"/>
      <c r="K427" s="46"/>
      <c r="L427" s="31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4.5">
      <c r="A428" s="40"/>
      <c r="B428" s="41"/>
      <c r="C428" s="42"/>
      <c r="D428" s="42"/>
      <c r="E428" s="43"/>
      <c r="F428" s="43"/>
      <c r="G428" s="43"/>
      <c r="H428" s="43"/>
      <c r="I428" s="43"/>
      <c r="J428" s="45"/>
      <c r="K428" s="46"/>
      <c r="L428" s="31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4.5">
      <c r="A429" s="40"/>
      <c r="B429" s="41"/>
      <c r="C429" s="42"/>
      <c r="D429" s="42"/>
      <c r="E429" s="43"/>
      <c r="F429" s="43"/>
      <c r="G429" s="43"/>
      <c r="H429" s="43"/>
      <c r="I429" s="43"/>
      <c r="J429" s="45"/>
      <c r="K429" s="46"/>
      <c r="L429" s="31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4.5">
      <c r="A430" s="40"/>
      <c r="B430" s="41"/>
      <c r="C430" s="42"/>
      <c r="D430" s="42"/>
      <c r="E430" s="43"/>
      <c r="F430" s="43"/>
      <c r="G430" s="43"/>
      <c r="H430" s="43"/>
      <c r="I430" s="43"/>
      <c r="J430" s="45"/>
      <c r="K430" s="46"/>
      <c r="L430" s="31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4.5">
      <c r="A431" s="40"/>
      <c r="B431" s="41"/>
      <c r="C431" s="42"/>
      <c r="D431" s="42"/>
      <c r="E431" s="43"/>
      <c r="F431" s="43"/>
      <c r="G431" s="43"/>
      <c r="H431" s="43"/>
      <c r="I431" s="43"/>
      <c r="J431" s="45"/>
      <c r="K431" s="46"/>
      <c r="L431" s="31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4.5">
      <c r="A432" s="40"/>
      <c r="B432" s="41"/>
      <c r="C432" s="42"/>
      <c r="D432" s="42"/>
      <c r="E432" s="43"/>
      <c r="F432" s="43"/>
      <c r="G432" s="43"/>
      <c r="H432" s="43"/>
      <c r="I432" s="43"/>
      <c r="J432" s="45"/>
      <c r="K432" s="46"/>
      <c r="L432" s="31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4.5">
      <c r="A433" s="40"/>
      <c r="B433" s="41"/>
      <c r="C433" s="42"/>
      <c r="D433" s="42"/>
      <c r="E433" s="43"/>
      <c r="F433" s="43"/>
      <c r="G433" s="43"/>
      <c r="H433" s="43"/>
      <c r="I433" s="43"/>
      <c r="J433" s="45"/>
      <c r="K433" s="46"/>
      <c r="L433" s="31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4.5">
      <c r="A434" s="40"/>
      <c r="B434" s="41"/>
      <c r="C434" s="42"/>
      <c r="D434" s="42"/>
      <c r="E434" s="43"/>
      <c r="F434" s="43"/>
      <c r="G434" s="43"/>
      <c r="H434" s="43"/>
      <c r="I434" s="43"/>
      <c r="J434" s="45"/>
      <c r="K434" s="46"/>
      <c r="L434" s="31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4.5">
      <c r="A435" s="40"/>
      <c r="B435" s="41"/>
      <c r="C435" s="42"/>
      <c r="D435" s="42"/>
      <c r="E435" s="43"/>
      <c r="F435" s="43"/>
      <c r="G435" s="43"/>
      <c r="H435" s="43"/>
      <c r="I435" s="43"/>
      <c r="J435" s="45"/>
      <c r="K435" s="46"/>
      <c r="L435" s="31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4.5">
      <c r="A436" s="40"/>
      <c r="B436" s="41"/>
      <c r="C436" s="42"/>
      <c r="D436" s="42"/>
      <c r="E436" s="43"/>
      <c r="F436" s="43"/>
      <c r="G436" s="43"/>
      <c r="H436" s="43"/>
      <c r="I436" s="43"/>
      <c r="J436" s="45"/>
      <c r="K436" s="46"/>
      <c r="L436" s="31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4.5">
      <c r="A437" s="40"/>
      <c r="B437" s="41"/>
      <c r="C437" s="42"/>
      <c r="D437" s="42"/>
      <c r="E437" s="43"/>
      <c r="F437" s="43"/>
      <c r="G437" s="43"/>
      <c r="H437" s="43"/>
      <c r="I437" s="43"/>
      <c r="J437" s="45"/>
      <c r="K437" s="46"/>
      <c r="L437" s="31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4.5">
      <c r="A438" s="40"/>
      <c r="B438" s="41"/>
      <c r="C438" s="42"/>
      <c r="D438" s="42"/>
      <c r="E438" s="43"/>
      <c r="F438" s="43"/>
      <c r="G438" s="43"/>
      <c r="H438" s="43"/>
      <c r="I438" s="43"/>
      <c r="J438" s="45"/>
      <c r="K438" s="46"/>
      <c r="L438" s="31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4.5">
      <c r="A439" s="40"/>
      <c r="B439" s="41"/>
      <c r="C439" s="42"/>
      <c r="D439" s="42"/>
      <c r="E439" s="43"/>
      <c r="F439" s="43"/>
      <c r="G439" s="43"/>
      <c r="H439" s="43"/>
      <c r="I439" s="43"/>
      <c r="J439" s="45"/>
      <c r="K439" s="46"/>
      <c r="L439" s="31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4.5">
      <c r="A440" s="40"/>
      <c r="B440" s="41"/>
      <c r="C440" s="42"/>
      <c r="D440" s="42"/>
      <c r="E440" s="43"/>
      <c r="F440" s="43"/>
      <c r="G440" s="43"/>
      <c r="H440" s="43"/>
      <c r="I440" s="43"/>
      <c r="J440" s="45"/>
      <c r="K440" s="46"/>
      <c r="L440" s="31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4.5">
      <c r="A441" s="40"/>
      <c r="B441" s="41"/>
      <c r="C441" s="42"/>
      <c r="D441" s="42"/>
      <c r="E441" s="43"/>
      <c r="F441" s="43"/>
      <c r="G441" s="43"/>
      <c r="H441" s="43"/>
      <c r="I441" s="43"/>
      <c r="J441" s="45"/>
      <c r="K441" s="46"/>
      <c r="L441" s="31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4.5">
      <c r="A442" s="40"/>
      <c r="B442" s="41"/>
      <c r="C442" s="42"/>
      <c r="D442" s="42"/>
      <c r="E442" s="43"/>
      <c r="F442" s="43"/>
      <c r="G442" s="43"/>
      <c r="H442" s="43"/>
      <c r="I442" s="43"/>
      <c r="J442" s="45"/>
      <c r="K442" s="46"/>
      <c r="L442" s="31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4.5">
      <c r="A443" s="40"/>
      <c r="B443" s="41"/>
      <c r="C443" s="42"/>
      <c r="D443" s="42"/>
      <c r="E443" s="43"/>
      <c r="F443" s="43"/>
      <c r="G443" s="43"/>
      <c r="H443" s="43"/>
      <c r="I443" s="43"/>
      <c r="J443" s="45"/>
      <c r="K443" s="46"/>
      <c r="L443" s="31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4.5">
      <c r="A444" s="40"/>
      <c r="B444" s="41"/>
      <c r="C444" s="42"/>
      <c r="D444" s="42"/>
      <c r="E444" s="43"/>
      <c r="F444" s="43"/>
      <c r="G444" s="43"/>
      <c r="H444" s="43"/>
      <c r="I444" s="43"/>
      <c r="J444" s="45"/>
      <c r="K444" s="46"/>
      <c r="L444" s="31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4.5">
      <c r="A445" s="40"/>
      <c r="B445" s="41"/>
      <c r="C445" s="42"/>
      <c r="D445" s="42"/>
      <c r="E445" s="43"/>
      <c r="F445" s="43"/>
      <c r="G445" s="43"/>
      <c r="H445" s="43"/>
      <c r="I445" s="43"/>
      <c r="J445" s="45"/>
      <c r="K445" s="46"/>
      <c r="L445" s="31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4.5">
      <c r="A446" s="40"/>
      <c r="B446" s="41"/>
      <c r="C446" s="42"/>
      <c r="D446" s="42"/>
      <c r="E446" s="43"/>
      <c r="F446" s="43"/>
      <c r="G446" s="43"/>
      <c r="H446" s="43"/>
      <c r="I446" s="43"/>
      <c r="J446" s="45"/>
      <c r="K446" s="46"/>
      <c r="L446" s="31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4.5">
      <c r="A447" s="40"/>
      <c r="B447" s="41"/>
      <c r="C447" s="42"/>
      <c r="D447" s="42"/>
      <c r="E447" s="43"/>
      <c r="F447" s="43"/>
      <c r="G447" s="43"/>
      <c r="H447" s="43"/>
      <c r="I447" s="43"/>
      <c r="J447" s="45"/>
      <c r="K447" s="46"/>
      <c r="L447" s="31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4.5">
      <c r="A448" s="40"/>
      <c r="B448" s="41"/>
      <c r="C448" s="42"/>
      <c r="D448" s="42"/>
      <c r="E448" s="43"/>
      <c r="F448" s="43"/>
      <c r="G448" s="43"/>
      <c r="H448" s="43"/>
      <c r="I448" s="43"/>
      <c r="J448" s="45"/>
      <c r="K448" s="46"/>
      <c r="L448" s="31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4.5">
      <c r="A449" s="40"/>
      <c r="B449" s="41"/>
      <c r="C449" s="42"/>
      <c r="D449" s="42"/>
      <c r="E449" s="43"/>
      <c r="F449" s="43"/>
      <c r="G449" s="43"/>
      <c r="H449" s="43"/>
      <c r="I449" s="43"/>
      <c r="J449" s="45"/>
      <c r="K449" s="46"/>
      <c r="L449" s="31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4.5">
      <c r="A450" s="40"/>
      <c r="B450" s="41"/>
      <c r="C450" s="42"/>
      <c r="D450" s="42"/>
      <c r="E450" s="43"/>
      <c r="F450" s="43"/>
      <c r="G450" s="43"/>
      <c r="H450" s="43"/>
      <c r="I450" s="43"/>
      <c r="J450" s="45"/>
      <c r="K450" s="46"/>
      <c r="L450" s="31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4.5">
      <c r="A451" s="40"/>
      <c r="B451" s="41"/>
      <c r="C451" s="42"/>
      <c r="D451" s="42"/>
      <c r="E451" s="43"/>
      <c r="F451" s="43"/>
      <c r="G451" s="43"/>
      <c r="H451" s="43"/>
      <c r="I451" s="43"/>
      <c r="J451" s="45"/>
      <c r="K451" s="46"/>
      <c r="L451" s="31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4.5">
      <c r="A452" s="40"/>
      <c r="B452" s="41"/>
      <c r="C452" s="42"/>
      <c r="D452" s="42"/>
      <c r="E452" s="43"/>
      <c r="F452" s="43"/>
      <c r="G452" s="43"/>
      <c r="H452" s="43"/>
      <c r="I452" s="43"/>
      <c r="J452" s="45"/>
      <c r="K452" s="46"/>
      <c r="L452" s="31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4.5">
      <c r="A453" s="40"/>
      <c r="B453" s="41"/>
      <c r="C453" s="42"/>
      <c r="D453" s="42"/>
      <c r="E453" s="43"/>
      <c r="F453" s="43"/>
      <c r="G453" s="43"/>
      <c r="H453" s="43"/>
      <c r="I453" s="43"/>
      <c r="J453" s="45"/>
      <c r="K453" s="46"/>
      <c r="L453" s="31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4.5">
      <c r="A454" s="40"/>
      <c r="B454" s="41"/>
      <c r="C454" s="42"/>
      <c r="D454" s="42"/>
      <c r="E454" s="43"/>
      <c r="F454" s="43"/>
      <c r="G454" s="43"/>
      <c r="H454" s="43"/>
      <c r="I454" s="43"/>
      <c r="J454" s="45"/>
      <c r="K454" s="46"/>
      <c r="L454" s="31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4.5">
      <c r="A455" s="40"/>
      <c r="B455" s="41"/>
      <c r="C455" s="42"/>
      <c r="D455" s="42"/>
      <c r="E455" s="43"/>
      <c r="F455" s="43"/>
      <c r="G455" s="43"/>
      <c r="H455" s="43"/>
      <c r="I455" s="43"/>
      <c r="J455" s="45"/>
      <c r="K455" s="46"/>
      <c r="L455" s="31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4.5">
      <c r="A456" s="40"/>
      <c r="B456" s="41"/>
      <c r="C456" s="42"/>
      <c r="D456" s="42"/>
      <c r="E456" s="43"/>
      <c r="F456" s="43"/>
      <c r="G456" s="43"/>
      <c r="H456" s="43"/>
      <c r="I456" s="43"/>
      <c r="J456" s="45"/>
      <c r="K456" s="46"/>
      <c r="L456" s="31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4.5">
      <c r="A457" s="40"/>
      <c r="B457" s="41"/>
      <c r="C457" s="42"/>
      <c r="D457" s="42"/>
      <c r="E457" s="43"/>
      <c r="F457" s="43"/>
      <c r="G457" s="43"/>
      <c r="H457" s="43"/>
      <c r="I457" s="43"/>
      <c r="J457" s="45"/>
      <c r="K457" s="46"/>
      <c r="L457" s="31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4.5">
      <c r="A458" s="40"/>
      <c r="B458" s="41"/>
      <c r="C458" s="42"/>
      <c r="D458" s="42"/>
      <c r="E458" s="43"/>
      <c r="F458" s="43"/>
      <c r="G458" s="43"/>
      <c r="H458" s="43"/>
      <c r="I458" s="43"/>
      <c r="J458" s="45"/>
      <c r="K458" s="46"/>
      <c r="L458" s="31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4.5">
      <c r="A459" s="40"/>
      <c r="B459" s="41"/>
      <c r="C459" s="42"/>
      <c r="D459" s="42"/>
      <c r="E459" s="43"/>
      <c r="F459" s="43"/>
      <c r="G459" s="43"/>
      <c r="H459" s="43"/>
      <c r="I459" s="43"/>
      <c r="J459" s="45"/>
      <c r="K459" s="46"/>
      <c r="L459" s="31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4.5">
      <c r="A460" s="40"/>
      <c r="B460" s="41"/>
      <c r="C460" s="42"/>
      <c r="D460" s="42"/>
      <c r="E460" s="43"/>
      <c r="F460" s="43"/>
      <c r="G460" s="43"/>
      <c r="H460" s="43"/>
      <c r="I460" s="43"/>
      <c r="J460" s="45"/>
      <c r="K460" s="46"/>
      <c r="L460" s="31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4.5">
      <c r="A461" s="40"/>
      <c r="B461" s="41"/>
      <c r="C461" s="42"/>
      <c r="D461" s="42"/>
      <c r="E461" s="43"/>
      <c r="F461" s="43"/>
      <c r="G461" s="43"/>
      <c r="H461" s="43"/>
      <c r="I461" s="43"/>
      <c r="J461" s="45"/>
      <c r="K461" s="46"/>
      <c r="L461" s="31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4.5">
      <c r="A462" s="40"/>
      <c r="B462" s="41"/>
      <c r="C462" s="42"/>
      <c r="D462" s="42"/>
      <c r="E462" s="43"/>
      <c r="F462" s="43"/>
      <c r="G462" s="43"/>
      <c r="H462" s="43"/>
      <c r="I462" s="43"/>
      <c r="J462" s="45"/>
      <c r="K462" s="46"/>
      <c r="L462" s="31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4.5">
      <c r="A463" s="40"/>
      <c r="B463" s="41"/>
      <c r="C463" s="42"/>
      <c r="D463" s="42"/>
      <c r="E463" s="43"/>
      <c r="F463" s="43"/>
      <c r="G463" s="43"/>
      <c r="H463" s="43"/>
      <c r="I463" s="43"/>
      <c r="J463" s="45"/>
      <c r="K463" s="46"/>
      <c r="L463" s="31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4.5">
      <c r="A464" s="40"/>
      <c r="B464" s="41"/>
      <c r="C464" s="42"/>
      <c r="D464" s="42"/>
      <c r="E464" s="43"/>
      <c r="F464" s="43"/>
      <c r="G464" s="43"/>
      <c r="H464" s="43"/>
      <c r="I464" s="43"/>
      <c r="J464" s="45"/>
      <c r="K464" s="46"/>
      <c r="L464" s="31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4.5">
      <c r="A465" s="40"/>
      <c r="B465" s="41"/>
      <c r="C465" s="42"/>
      <c r="D465" s="42"/>
      <c r="E465" s="43"/>
      <c r="F465" s="43"/>
      <c r="G465" s="43"/>
      <c r="H465" s="43"/>
      <c r="I465" s="43"/>
      <c r="J465" s="45"/>
      <c r="K465" s="46"/>
      <c r="L465" s="31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4.5">
      <c r="A466" s="40"/>
      <c r="B466" s="41"/>
      <c r="C466" s="42"/>
      <c r="D466" s="42"/>
      <c r="E466" s="43"/>
      <c r="F466" s="43"/>
      <c r="G466" s="43"/>
      <c r="H466" s="43"/>
      <c r="I466" s="43"/>
      <c r="J466" s="45"/>
      <c r="K466" s="46"/>
      <c r="L466" s="31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4.5">
      <c r="A467" s="40"/>
      <c r="B467" s="41"/>
      <c r="C467" s="42"/>
      <c r="D467" s="42"/>
      <c r="E467" s="43"/>
      <c r="F467" s="43"/>
      <c r="G467" s="43"/>
      <c r="H467" s="43"/>
      <c r="I467" s="43"/>
      <c r="J467" s="45"/>
      <c r="K467" s="46"/>
      <c r="L467" s="31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4.5">
      <c r="A468" s="40"/>
      <c r="B468" s="41"/>
      <c r="C468" s="42"/>
      <c r="D468" s="42"/>
      <c r="E468" s="43"/>
      <c r="F468" s="43"/>
      <c r="G468" s="43"/>
      <c r="H468" s="43"/>
      <c r="I468" s="43"/>
      <c r="J468" s="45"/>
      <c r="K468" s="46"/>
      <c r="L468" s="31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4.5">
      <c r="A469" s="40"/>
      <c r="B469" s="41"/>
      <c r="C469" s="42"/>
      <c r="D469" s="42"/>
      <c r="E469" s="43"/>
      <c r="F469" s="43"/>
      <c r="G469" s="43"/>
      <c r="H469" s="43"/>
      <c r="I469" s="43"/>
      <c r="J469" s="45"/>
      <c r="K469" s="46"/>
      <c r="L469" s="31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4.5">
      <c r="A470" s="40"/>
      <c r="B470" s="41"/>
      <c r="C470" s="42"/>
      <c r="D470" s="42"/>
      <c r="E470" s="43"/>
      <c r="F470" s="43"/>
      <c r="G470" s="43"/>
      <c r="H470" s="43"/>
      <c r="I470" s="43"/>
      <c r="J470" s="45"/>
      <c r="K470" s="46"/>
      <c r="L470" s="31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4.5">
      <c r="A471" s="40"/>
      <c r="B471" s="41"/>
      <c r="C471" s="42"/>
      <c r="D471" s="42"/>
      <c r="E471" s="43"/>
      <c r="F471" s="43"/>
      <c r="G471" s="43"/>
      <c r="H471" s="43"/>
      <c r="I471" s="43"/>
      <c r="J471" s="45"/>
      <c r="K471" s="46"/>
      <c r="L471" s="31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4.5">
      <c r="A472" s="40"/>
      <c r="B472" s="41"/>
      <c r="C472" s="42"/>
      <c r="D472" s="42"/>
      <c r="E472" s="43"/>
      <c r="F472" s="43"/>
      <c r="G472" s="43"/>
      <c r="H472" s="43"/>
      <c r="I472" s="43"/>
      <c r="J472" s="45"/>
      <c r="K472" s="46"/>
      <c r="L472" s="31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4.5">
      <c r="A473" s="40"/>
      <c r="B473" s="41"/>
      <c r="C473" s="42"/>
      <c r="D473" s="42"/>
      <c r="E473" s="43"/>
      <c r="F473" s="43"/>
      <c r="G473" s="43"/>
      <c r="H473" s="43"/>
      <c r="I473" s="43"/>
      <c r="J473" s="45"/>
      <c r="K473" s="46"/>
      <c r="L473" s="31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4.5">
      <c r="A474" s="40"/>
      <c r="B474" s="41"/>
      <c r="C474" s="42"/>
      <c r="D474" s="42"/>
      <c r="E474" s="43"/>
      <c r="F474" s="43"/>
      <c r="G474" s="43"/>
      <c r="H474" s="43"/>
      <c r="I474" s="43"/>
      <c r="J474" s="45"/>
      <c r="K474" s="46"/>
      <c r="L474" s="31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4.5">
      <c r="A475" s="40"/>
      <c r="B475" s="41"/>
      <c r="C475" s="42"/>
      <c r="D475" s="42"/>
      <c r="E475" s="43"/>
      <c r="F475" s="43"/>
      <c r="G475" s="43"/>
      <c r="H475" s="43"/>
      <c r="I475" s="43"/>
      <c r="J475" s="45"/>
      <c r="K475" s="46"/>
      <c r="L475" s="31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4.5">
      <c r="A476" s="40"/>
      <c r="B476" s="41"/>
      <c r="C476" s="42"/>
      <c r="D476" s="42"/>
      <c r="E476" s="43"/>
      <c r="F476" s="43"/>
      <c r="G476" s="43"/>
      <c r="H476" s="43"/>
      <c r="I476" s="43"/>
      <c r="J476" s="45"/>
      <c r="K476" s="46"/>
      <c r="L476" s="31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4.5">
      <c r="A477" s="40"/>
      <c r="B477" s="41"/>
      <c r="C477" s="42"/>
      <c r="D477" s="42"/>
      <c r="E477" s="43"/>
      <c r="F477" s="43"/>
      <c r="G477" s="43"/>
      <c r="H477" s="43"/>
      <c r="I477" s="43"/>
      <c r="J477" s="45"/>
      <c r="K477" s="46"/>
      <c r="L477" s="31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4.5">
      <c r="A478" s="40"/>
      <c r="B478" s="41"/>
      <c r="C478" s="42"/>
      <c r="D478" s="42"/>
      <c r="E478" s="43"/>
      <c r="F478" s="43"/>
      <c r="G478" s="43"/>
      <c r="H478" s="43"/>
      <c r="I478" s="43"/>
      <c r="J478" s="45"/>
      <c r="K478" s="46"/>
      <c r="L478" s="31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4.5">
      <c r="A479" s="40"/>
      <c r="B479" s="41"/>
      <c r="C479" s="42"/>
      <c r="D479" s="42"/>
      <c r="E479" s="43"/>
      <c r="F479" s="43"/>
      <c r="G479" s="43"/>
      <c r="H479" s="43"/>
      <c r="I479" s="43"/>
      <c r="J479" s="45"/>
      <c r="K479" s="46"/>
      <c r="L479" s="31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4.5">
      <c r="A480" s="40"/>
      <c r="B480" s="41"/>
      <c r="C480" s="42"/>
      <c r="D480" s="42"/>
      <c r="E480" s="43"/>
      <c r="F480" s="43"/>
      <c r="G480" s="43"/>
      <c r="H480" s="43"/>
      <c r="I480" s="43"/>
      <c r="J480" s="45"/>
      <c r="K480" s="46"/>
      <c r="L480" s="31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4.5">
      <c r="A481" s="40"/>
      <c r="B481" s="41"/>
      <c r="C481" s="42"/>
      <c r="D481" s="42"/>
      <c r="E481" s="43"/>
      <c r="F481" s="43"/>
      <c r="G481" s="43"/>
      <c r="H481" s="43"/>
      <c r="I481" s="43"/>
      <c r="J481" s="45"/>
      <c r="K481" s="46"/>
      <c r="L481" s="31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4.5">
      <c r="A482" s="40"/>
      <c r="B482" s="41"/>
      <c r="C482" s="42"/>
      <c r="D482" s="42"/>
      <c r="E482" s="43"/>
      <c r="F482" s="43"/>
      <c r="G482" s="43"/>
      <c r="H482" s="43"/>
      <c r="I482" s="43"/>
      <c r="J482" s="45"/>
      <c r="K482" s="46"/>
      <c r="L482" s="31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4.5">
      <c r="A483" s="40"/>
      <c r="B483" s="41"/>
      <c r="C483" s="42"/>
      <c r="D483" s="42"/>
      <c r="E483" s="43"/>
      <c r="F483" s="43"/>
      <c r="G483" s="43"/>
      <c r="H483" s="43"/>
      <c r="I483" s="43"/>
      <c r="J483" s="45"/>
      <c r="K483" s="46"/>
      <c r="L483" s="31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4.5">
      <c r="A484" s="40"/>
      <c r="B484" s="41"/>
      <c r="C484" s="42"/>
      <c r="D484" s="42"/>
      <c r="E484" s="43"/>
      <c r="F484" s="43"/>
      <c r="G484" s="43"/>
      <c r="H484" s="43"/>
      <c r="I484" s="43"/>
      <c r="J484" s="45"/>
      <c r="K484" s="46"/>
      <c r="L484" s="31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4.5">
      <c r="A485" s="40"/>
      <c r="B485" s="41"/>
      <c r="C485" s="42"/>
      <c r="D485" s="42"/>
      <c r="E485" s="43"/>
      <c r="F485" s="43"/>
      <c r="G485" s="43"/>
      <c r="H485" s="43"/>
      <c r="I485" s="43"/>
      <c r="J485" s="45"/>
      <c r="K485" s="46"/>
      <c r="L485" s="31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4.5">
      <c r="A486" s="40"/>
      <c r="B486" s="41"/>
      <c r="C486" s="42"/>
      <c r="D486" s="42"/>
      <c r="E486" s="43"/>
      <c r="F486" s="43"/>
      <c r="G486" s="43"/>
      <c r="H486" s="43"/>
      <c r="I486" s="43"/>
      <c r="J486" s="45"/>
      <c r="K486" s="46"/>
      <c r="L486" s="31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4.5">
      <c r="A487" s="40"/>
      <c r="B487" s="41"/>
      <c r="C487" s="42"/>
      <c r="D487" s="42"/>
      <c r="E487" s="43"/>
      <c r="F487" s="43"/>
      <c r="G487" s="43"/>
      <c r="H487" s="43"/>
      <c r="I487" s="43"/>
      <c r="J487" s="45"/>
      <c r="K487" s="46"/>
      <c r="L487" s="31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4.5">
      <c r="A488" s="40"/>
      <c r="B488" s="41"/>
      <c r="C488" s="42"/>
      <c r="D488" s="42"/>
      <c r="E488" s="43"/>
      <c r="F488" s="43"/>
      <c r="G488" s="43"/>
      <c r="H488" s="43"/>
      <c r="I488" s="43"/>
      <c r="J488" s="45"/>
      <c r="K488" s="46"/>
      <c r="L488" s="31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4.5">
      <c r="A489" s="40"/>
      <c r="B489" s="41"/>
      <c r="C489" s="42"/>
      <c r="D489" s="42"/>
      <c r="E489" s="43"/>
      <c r="F489" s="43"/>
      <c r="G489" s="43"/>
      <c r="H489" s="43"/>
      <c r="I489" s="43"/>
      <c r="J489" s="45"/>
      <c r="K489" s="46"/>
      <c r="L489" s="31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4.5">
      <c r="A490" s="40"/>
      <c r="B490" s="41"/>
      <c r="C490" s="42"/>
      <c r="D490" s="42"/>
      <c r="E490" s="43"/>
      <c r="F490" s="43"/>
      <c r="G490" s="43"/>
      <c r="H490" s="43"/>
      <c r="I490" s="43"/>
      <c r="J490" s="45"/>
      <c r="K490" s="46"/>
      <c r="L490" s="31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4.5">
      <c r="A491" s="40"/>
      <c r="B491" s="41"/>
      <c r="C491" s="42"/>
      <c r="D491" s="42"/>
      <c r="E491" s="43"/>
      <c r="F491" s="43"/>
      <c r="G491" s="43"/>
      <c r="H491" s="43"/>
      <c r="I491" s="43"/>
      <c r="J491" s="45"/>
      <c r="K491" s="46"/>
      <c r="L491" s="31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4.5">
      <c r="A492" s="40"/>
      <c r="B492" s="41"/>
      <c r="C492" s="42"/>
      <c r="D492" s="42"/>
      <c r="E492" s="43"/>
      <c r="F492" s="43"/>
      <c r="G492" s="43"/>
      <c r="H492" s="43"/>
      <c r="I492" s="43"/>
      <c r="J492" s="45"/>
      <c r="K492" s="46"/>
      <c r="L492" s="31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4.5">
      <c r="A493" s="40"/>
      <c r="B493" s="41"/>
      <c r="C493" s="42"/>
      <c r="D493" s="42"/>
      <c r="E493" s="43"/>
      <c r="F493" s="43"/>
      <c r="G493" s="43"/>
      <c r="H493" s="43"/>
      <c r="I493" s="43"/>
      <c r="J493" s="45"/>
      <c r="K493" s="46"/>
      <c r="L493" s="31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4.5">
      <c r="A494" s="40"/>
      <c r="B494" s="41"/>
      <c r="C494" s="42"/>
      <c r="D494" s="42"/>
      <c r="E494" s="43"/>
      <c r="F494" s="43"/>
      <c r="G494" s="43"/>
      <c r="H494" s="43"/>
      <c r="I494" s="43"/>
      <c r="J494" s="45"/>
      <c r="K494" s="46"/>
      <c r="L494" s="31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4.5">
      <c r="A495" s="40"/>
      <c r="B495" s="41"/>
      <c r="C495" s="42"/>
      <c r="D495" s="42"/>
      <c r="E495" s="43"/>
      <c r="F495" s="43"/>
      <c r="G495" s="43"/>
      <c r="H495" s="43"/>
      <c r="I495" s="43"/>
      <c r="J495" s="45"/>
      <c r="K495" s="46"/>
      <c r="L495" s="31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4.5">
      <c r="A496" s="40"/>
      <c r="B496" s="41"/>
      <c r="C496" s="42"/>
      <c r="D496" s="42"/>
      <c r="E496" s="43"/>
      <c r="F496" s="43"/>
      <c r="G496" s="43"/>
      <c r="H496" s="43"/>
      <c r="I496" s="43"/>
      <c r="J496" s="45"/>
      <c r="K496" s="46"/>
      <c r="L496" s="31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4.5">
      <c r="A497" s="40"/>
      <c r="B497" s="41"/>
      <c r="C497" s="42"/>
      <c r="D497" s="42"/>
      <c r="E497" s="43"/>
      <c r="F497" s="43"/>
      <c r="G497" s="43"/>
      <c r="H497" s="43"/>
      <c r="I497" s="43"/>
      <c r="J497" s="45"/>
      <c r="K497" s="46"/>
      <c r="L497" s="31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4.5">
      <c r="A498" s="40"/>
      <c r="B498" s="41"/>
      <c r="C498" s="42"/>
      <c r="D498" s="42"/>
      <c r="E498" s="43"/>
      <c r="F498" s="43"/>
      <c r="G498" s="43"/>
      <c r="H498" s="43"/>
      <c r="I498" s="43"/>
      <c r="J498" s="45"/>
      <c r="K498" s="46"/>
      <c r="L498" s="31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4.5">
      <c r="A499" s="40"/>
      <c r="B499" s="41"/>
      <c r="C499" s="42"/>
      <c r="D499" s="42"/>
      <c r="E499" s="43"/>
      <c r="F499" s="43"/>
      <c r="G499" s="43"/>
      <c r="H499" s="43"/>
      <c r="I499" s="43"/>
      <c r="J499" s="45"/>
      <c r="K499" s="46"/>
      <c r="L499" s="31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4.5">
      <c r="A500" s="40"/>
      <c r="B500" s="41"/>
      <c r="C500" s="42"/>
      <c r="D500" s="42"/>
      <c r="E500" s="43"/>
      <c r="F500" s="43"/>
      <c r="G500" s="43"/>
      <c r="H500" s="43"/>
      <c r="I500" s="43"/>
      <c r="J500" s="45"/>
      <c r="K500" s="46"/>
      <c r="L500" s="31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4.5">
      <c r="A501" s="40"/>
      <c r="B501" s="41"/>
      <c r="C501" s="42"/>
      <c r="D501" s="42"/>
      <c r="E501" s="43"/>
      <c r="F501" s="43"/>
      <c r="G501" s="43"/>
      <c r="H501" s="43"/>
      <c r="I501" s="43"/>
      <c r="J501" s="45"/>
      <c r="K501" s="46"/>
      <c r="L501" s="31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4.5">
      <c r="A502" s="40"/>
      <c r="B502" s="41"/>
      <c r="C502" s="42"/>
      <c r="D502" s="42"/>
      <c r="E502" s="43"/>
      <c r="F502" s="43"/>
      <c r="G502" s="43"/>
      <c r="H502" s="43"/>
      <c r="I502" s="43"/>
      <c r="J502" s="45"/>
      <c r="K502" s="46"/>
      <c r="L502" s="31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4.5">
      <c r="A503" s="40"/>
      <c r="B503" s="41"/>
      <c r="C503" s="42"/>
      <c r="D503" s="42"/>
      <c r="E503" s="43"/>
      <c r="F503" s="43"/>
      <c r="G503" s="43"/>
      <c r="H503" s="43"/>
      <c r="I503" s="43"/>
      <c r="J503" s="45"/>
      <c r="K503" s="46"/>
      <c r="L503" s="31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4.5">
      <c r="A504" s="40"/>
      <c r="B504" s="41"/>
      <c r="C504" s="42"/>
      <c r="D504" s="42"/>
      <c r="E504" s="43"/>
      <c r="F504" s="43"/>
      <c r="G504" s="43"/>
      <c r="H504" s="43"/>
      <c r="I504" s="43"/>
      <c r="J504" s="45"/>
      <c r="K504" s="46"/>
      <c r="L504" s="31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4.5">
      <c r="A505" s="40"/>
      <c r="B505" s="41"/>
      <c r="C505" s="42"/>
      <c r="D505" s="42"/>
      <c r="E505" s="43"/>
      <c r="F505" s="43"/>
      <c r="G505" s="43"/>
      <c r="H505" s="43"/>
      <c r="I505" s="43"/>
      <c r="J505" s="45"/>
      <c r="K505" s="46"/>
      <c r="L505" s="31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4.5">
      <c r="A506" s="40"/>
      <c r="B506" s="41"/>
      <c r="C506" s="42"/>
      <c r="D506" s="42"/>
      <c r="E506" s="43"/>
      <c r="F506" s="43"/>
      <c r="G506" s="43"/>
      <c r="H506" s="43"/>
      <c r="I506" s="43"/>
      <c r="J506" s="45"/>
      <c r="K506" s="46"/>
      <c r="L506" s="31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4.5">
      <c r="A507" s="40"/>
      <c r="B507" s="41"/>
      <c r="C507" s="42"/>
      <c r="D507" s="42"/>
      <c r="E507" s="43"/>
      <c r="F507" s="43"/>
      <c r="G507" s="43"/>
      <c r="H507" s="43"/>
      <c r="I507" s="43"/>
      <c r="J507" s="45"/>
      <c r="K507" s="46"/>
      <c r="L507" s="31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4.5">
      <c r="A508" s="40"/>
      <c r="B508" s="41"/>
      <c r="C508" s="42"/>
      <c r="D508" s="42"/>
      <c r="E508" s="43"/>
      <c r="F508" s="43"/>
      <c r="G508" s="43"/>
      <c r="H508" s="43"/>
      <c r="I508" s="43"/>
      <c r="J508" s="45"/>
      <c r="K508" s="46"/>
      <c r="L508" s="31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4.5">
      <c r="A509" s="40"/>
      <c r="B509" s="41"/>
      <c r="C509" s="42"/>
      <c r="D509" s="42"/>
      <c r="E509" s="43"/>
      <c r="F509" s="43"/>
      <c r="G509" s="43"/>
      <c r="H509" s="43"/>
      <c r="I509" s="43"/>
      <c r="J509" s="45"/>
      <c r="K509" s="46"/>
      <c r="L509" s="31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4.5">
      <c r="A510" s="40"/>
      <c r="B510" s="41"/>
      <c r="C510" s="42"/>
      <c r="D510" s="42"/>
      <c r="E510" s="43"/>
      <c r="F510" s="43"/>
      <c r="G510" s="43"/>
      <c r="H510" s="43"/>
      <c r="I510" s="43"/>
      <c r="J510" s="45"/>
      <c r="K510" s="46"/>
      <c r="L510" s="31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4.5">
      <c r="A511" s="40"/>
      <c r="B511" s="41"/>
      <c r="C511" s="42"/>
      <c r="D511" s="42"/>
      <c r="E511" s="43"/>
      <c r="F511" s="43"/>
      <c r="G511" s="43"/>
      <c r="H511" s="43"/>
      <c r="I511" s="43"/>
      <c r="J511" s="45"/>
      <c r="K511" s="46"/>
      <c r="L511" s="31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4.5">
      <c r="A512" s="40"/>
      <c r="B512" s="41"/>
      <c r="C512" s="42"/>
      <c r="D512" s="42"/>
      <c r="E512" s="43"/>
      <c r="F512" s="43"/>
      <c r="G512" s="43"/>
      <c r="H512" s="43"/>
      <c r="I512" s="43"/>
      <c r="J512" s="45"/>
      <c r="K512" s="46"/>
      <c r="L512" s="31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4.5">
      <c r="A513" s="40"/>
      <c r="B513" s="41"/>
      <c r="C513" s="42"/>
      <c r="D513" s="42"/>
      <c r="E513" s="43"/>
      <c r="F513" s="43"/>
      <c r="G513" s="43"/>
      <c r="H513" s="43"/>
      <c r="I513" s="43"/>
      <c r="J513" s="45"/>
      <c r="K513" s="46"/>
      <c r="L513" s="31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4.5">
      <c r="A514" s="40"/>
      <c r="B514" s="41"/>
      <c r="C514" s="42"/>
      <c r="D514" s="42"/>
      <c r="E514" s="43"/>
      <c r="F514" s="43"/>
      <c r="G514" s="43"/>
      <c r="H514" s="43"/>
      <c r="I514" s="43"/>
      <c r="J514" s="45"/>
      <c r="K514" s="46"/>
      <c r="L514" s="31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4.5">
      <c r="A515" s="40"/>
      <c r="B515" s="41"/>
      <c r="C515" s="42"/>
      <c r="D515" s="42"/>
      <c r="E515" s="43"/>
      <c r="F515" s="43"/>
      <c r="G515" s="43"/>
      <c r="H515" s="43"/>
      <c r="I515" s="43"/>
      <c r="J515" s="45"/>
      <c r="K515" s="46"/>
      <c r="L515" s="31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4.5">
      <c r="A516" s="40"/>
      <c r="B516" s="41"/>
      <c r="C516" s="42"/>
      <c r="D516" s="42"/>
      <c r="E516" s="43"/>
      <c r="F516" s="43"/>
      <c r="G516" s="43"/>
      <c r="H516" s="43"/>
      <c r="I516" s="43"/>
      <c r="J516" s="45"/>
      <c r="K516" s="46"/>
      <c r="L516" s="31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4.5">
      <c r="A517" s="40"/>
      <c r="B517" s="41"/>
      <c r="C517" s="42"/>
      <c r="D517" s="42"/>
      <c r="E517" s="43"/>
      <c r="F517" s="43"/>
      <c r="G517" s="43"/>
      <c r="H517" s="43"/>
      <c r="I517" s="43"/>
      <c r="J517" s="45"/>
      <c r="K517" s="46"/>
      <c r="L517" s="31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4.5">
      <c r="A518" s="40"/>
      <c r="B518" s="41"/>
      <c r="C518" s="42"/>
      <c r="D518" s="42"/>
      <c r="E518" s="43"/>
      <c r="F518" s="43"/>
      <c r="G518" s="43"/>
      <c r="H518" s="43"/>
      <c r="I518" s="43"/>
      <c r="J518" s="45"/>
      <c r="K518" s="46"/>
      <c r="L518" s="31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4.5">
      <c r="A519" s="40"/>
      <c r="B519" s="41"/>
      <c r="C519" s="42"/>
      <c r="D519" s="42"/>
      <c r="E519" s="43"/>
      <c r="F519" s="43"/>
      <c r="G519" s="43"/>
      <c r="H519" s="43"/>
      <c r="I519" s="43"/>
      <c r="J519" s="45"/>
      <c r="K519" s="46"/>
      <c r="L519" s="31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4.5">
      <c r="A520" s="40"/>
      <c r="B520" s="41"/>
      <c r="C520" s="42"/>
      <c r="D520" s="42"/>
      <c r="E520" s="43"/>
      <c r="F520" s="43"/>
      <c r="G520" s="43"/>
      <c r="H520" s="43"/>
      <c r="I520" s="43"/>
      <c r="J520" s="45"/>
      <c r="K520" s="46"/>
      <c r="L520" s="31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4.5">
      <c r="A521" s="40"/>
      <c r="B521" s="41"/>
      <c r="C521" s="42"/>
      <c r="D521" s="42"/>
      <c r="E521" s="43"/>
      <c r="F521" s="43"/>
      <c r="G521" s="43"/>
      <c r="H521" s="43"/>
      <c r="I521" s="43"/>
      <c r="J521" s="45"/>
      <c r="K521" s="46"/>
      <c r="L521" s="31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4.5">
      <c r="A522" s="40"/>
      <c r="B522" s="41"/>
      <c r="C522" s="42"/>
      <c r="D522" s="42"/>
      <c r="E522" s="43"/>
      <c r="F522" s="43"/>
      <c r="G522" s="43"/>
      <c r="H522" s="43"/>
      <c r="I522" s="43"/>
      <c r="J522" s="45"/>
      <c r="K522" s="46"/>
      <c r="L522" s="31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4.5">
      <c r="A523" s="40"/>
      <c r="B523" s="41"/>
      <c r="C523" s="42"/>
      <c r="D523" s="42"/>
      <c r="E523" s="43"/>
      <c r="F523" s="43"/>
      <c r="G523" s="43"/>
      <c r="H523" s="43"/>
      <c r="I523" s="43"/>
      <c r="J523" s="45"/>
      <c r="K523" s="46"/>
      <c r="L523" s="31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4.5">
      <c r="A524" s="40"/>
      <c r="B524" s="41"/>
      <c r="C524" s="42"/>
      <c r="D524" s="42"/>
      <c r="E524" s="43"/>
      <c r="F524" s="43"/>
      <c r="G524" s="43"/>
      <c r="H524" s="43"/>
      <c r="I524" s="43"/>
      <c r="J524" s="45"/>
      <c r="K524" s="46"/>
      <c r="L524" s="31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4.5">
      <c r="A525" s="40"/>
      <c r="B525" s="41"/>
      <c r="C525" s="42"/>
      <c r="D525" s="42"/>
      <c r="E525" s="43"/>
      <c r="F525" s="43"/>
      <c r="G525" s="43"/>
      <c r="H525" s="43"/>
      <c r="I525" s="43"/>
      <c r="J525" s="45"/>
      <c r="K525" s="46"/>
      <c r="L525" s="31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4.5">
      <c r="A526" s="40"/>
      <c r="B526" s="41"/>
      <c r="C526" s="42"/>
      <c r="D526" s="42"/>
      <c r="E526" s="43"/>
      <c r="F526" s="43"/>
      <c r="G526" s="43"/>
      <c r="H526" s="43"/>
      <c r="I526" s="43"/>
      <c r="J526" s="45"/>
      <c r="K526" s="46"/>
      <c r="L526" s="31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4.5">
      <c r="A527" s="40"/>
      <c r="B527" s="41"/>
      <c r="C527" s="42"/>
      <c r="D527" s="42"/>
      <c r="E527" s="43"/>
      <c r="F527" s="43"/>
      <c r="G527" s="43"/>
      <c r="H527" s="43"/>
      <c r="I527" s="43"/>
      <c r="J527" s="45"/>
      <c r="K527" s="46"/>
      <c r="L527" s="31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4.5">
      <c r="A528" s="40"/>
      <c r="B528" s="41"/>
      <c r="C528" s="42"/>
      <c r="D528" s="42"/>
      <c r="E528" s="43"/>
      <c r="F528" s="43"/>
      <c r="G528" s="43"/>
      <c r="H528" s="43"/>
      <c r="I528" s="43"/>
      <c r="J528" s="45"/>
      <c r="K528" s="46"/>
      <c r="L528" s="31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4.5">
      <c r="A529" s="40"/>
      <c r="B529" s="41"/>
      <c r="C529" s="42"/>
      <c r="D529" s="42"/>
      <c r="E529" s="43"/>
      <c r="F529" s="43"/>
      <c r="G529" s="43"/>
      <c r="H529" s="43"/>
      <c r="I529" s="43"/>
      <c r="J529" s="45"/>
      <c r="K529" s="46"/>
      <c r="L529" s="31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4.5">
      <c r="A530" s="40"/>
      <c r="B530" s="41"/>
      <c r="C530" s="42"/>
      <c r="D530" s="42"/>
      <c r="E530" s="43"/>
      <c r="F530" s="43"/>
      <c r="G530" s="43"/>
      <c r="H530" s="43"/>
      <c r="I530" s="43"/>
      <c r="J530" s="45"/>
      <c r="K530" s="46"/>
      <c r="L530" s="31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4.5">
      <c r="A531" s="40"/>
      <c r="B531" s="41"/>
      <c r="C531" s="42"/>
      <c r="D531" s="42"/>
      <c r="E531" s="43"/>
      <c r="F531" s="43"/>
      <c r="G531" s="43"/>
      <c r="H531" s="43"/>
      <c r="I531" s="43"/>
      <c r="J531" s="45"/>
      <c r="K531" s="46"/>
      <c r="L531" s="31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4.5">
      <c r="A532" s="40"/>
      <c r="B532" s="41"/>
      <c r="C532" s="42"/>
      <c r="D532" s="42"/>
      <c r="E532" s="43"/>
      <c r="F532" s="43"/>
      <c r="G532" s="43"/>
      <c r="H532" s="43"/>
      <c r="I532" s="43"/>
      <c r="J532" s="45"/>
      <c r="K532" s="46"/>
      <c r="L532" s="31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4.5">
      <c r="A533" s="40"/>
      <c r="B533" s="41"/>
      <c r="C533" s="42"/>
      <c r="D533" s="42"/>
      <c r="E533" s="43"/>
      <c r="F533" s="43"/>
      <c r="G533" s="43"/>
      <c r="H533" s="43"/>
      <c r="I533" s="43"/>
      <c r="J533" s="45"/>
      <c r="K533" s="46"/>
      <c r="L533" s="31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4.5">
      <c r="A534" s="40"/>
      <c r="B534" s="41"/>
      <c r="C534" s="42"/>
      <c r="D534" s="42"/>
      <c r="E534" s="43"/>
      <c r="F534" s="43"/>
      <c r="G534" s="43"/>
      <c r="H534" s="43"/>
      <c r="I534" s="43"/>
      <c r="J534" s="45"/>
      <c r="K534" s="46"/>
      <c r="L534" s="31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4.5">
      <c r="A535" s="40"/>
      <c r="B535" s="41"/>
      <c r="C535" s="42"/>
      <c r="D535" s="42"/>
      <c r="E535" s="43"/>
      <c r="F535" s="43"/>
      <c r="G535" s="43"/>
      <c r="H535" s="43"/>
      <c r="I535" s="43"/>
      <c r="J535" s="45"/>
      <c r="K535" s="46"/>
      <c r="L535" s="31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4.5">
      <c r="A536" s="40"/>
      <c r="B536" s="41"/>
      <c r="C536" s="42"/>
      <c r="D536" s="42"/>
      <c r="E536" s="43"/>
      <c r="F536" s="43"/>
      <c r="G536" s="43"/>
      <c r="H536" s="43"/>
      <c r="I536" s="43"/>
      <c r="J536" s="45"/>
      <c r="K536" s="46"/>
      <c r="L536" s="31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4.5">
      <c r="A537" s="40"/>
      <c r="B537" s="41"/>
      <c r="C537" s="42"/>
      <c r="D537" s="42"/>
      <c r="E537" s="43"/>
      <c r="F537" s="43"/>
      <c r="G537" s="43"/>
      <c r="H537" s="43"/>
      <c r="I537" s="43"/>
      <c r="J537" s="45"/>
      <c r="K537" s="46"/>
      <c r="L537" s="31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4.5">
      <c r="A538" s="40"/>
      <c r="B538" s="41"/>
      <c r="C538" s="42"/>
      <c r="D538" s="42"/>
      <c r="E538" s="43"/>
      <c r="F538" s="43"/>
      <c r="G538" s="43"/>
      <c r="H538" s="43"/>
      <c r="I538" s="43"/>
      <c r="J538" s="45"/>
      <c r="K538" s="46"/>
      <c r="L538" s="31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4.5">
      <c r="A539" s="40"/>
      <c r="B539" s="41"/>
      <c r="C539" s="42"/>
      <c r="D539" s="42"/>
      <c r="E539" s="43"/>
      <c r="F539" s="43"/>
      <c r="G539" s="43"/>
      <c r="H539" s="43"/>
      <c r="I539" s="43"/>
      <c r="J539" s="45"/>
      <c r="K539" s="46"/>
      <c r="L539" s="31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4.5">
      <c r="A540" s="40"/>
      <c r="B540" s="41"/>
      <c r="C540" s="42"/>
      <c r="D540" s="42"/>
      <c r="E540" s="43"/>
      <c r="F540" s="43"/>
      <c r="G540" s="43"/>
      <c r="H540" s="43"/>
      <c r="I540" s="43"/>
      <c r="J540" s="45"/>
      <c r="K540" s="46"/>
      <c r="L540" s="31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4.5">
      <c r="A541" s="40"/>
      <c r="B541" s="41"/>
      <c r="C541" s="42"/>
      <c r="D541" s="42"/>
      <c r="E541" s="43"/>
      <c r="F541" s="43"/>
      <c r="G541" s="43"/>
      <c r="H541" s="43"/>
      <c r="I541" s="43"/>
      <c r="J541" s="45"/>
      <c r="K541" s="46"/>
      <c r="L541" s="31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4.5">
      <c r="A542" s="40"/>
      <c r="B542" s="41"/>
      <c r="C542" s="42"/>
      <c r="D542" s="42"/>
      <c r="E542" s="43"/>
      <c r="F542" s="43"/>
      <c r="G542" s="43"/>
      <c r="H542" s="43"/>
      <c r="I542" s="43"/>
      <c r="J542" s="45"/>
      <c r="K542" s="46"/>
      <c r="L542" s="31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4.5">
      <c r="A543" s="40"/>
      <c r="B543" s="41"/>
      <c r="C543" s="42"/>
      <c r="D543" s="42"/>
      <c r="E543" s="43"/>
      <c r="F543" s="43"/>
      <c r="G543" s="43"/>
      <c r="H543" s="43"/>
      <c r="I543" s="43"/>
      <c r="J543" s="45"/>
      <c r="K543" s="46"/>
      <c r="L543" s="31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4.5">
      <c r="A544" s="40"/>
      <c r="B544" s="41"/>
      <c r="C544" s="42"/>
      <c r="D544" s="42"/>
      <c r="E544" s="43"/>
      <c r="F544" s="43"/>
      <c r="G544" s="43"/>
      <c r="H544" s="43"/>
      <c r="I544" s="43"/>
      <c r="J544" s="45"/>
      <c r="K544" s="46"/>
      <c r="L544" s="31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4.5">
      <c r="A545" s="40"/>
      <c r="B545" s="41"/>
      <c r="C545" s="42"/>
      <c r="D545" s="42"/>
      <c r="E545" s="43"/>
      <c r="F545" s="43"/>
      <c r="G545" s="43"/>
      <c r="H545" s="43"/>
      <c r="I545" s="43"/>
      <c r="J545" s="45"/>
      <c r="K545" s="46"/>
      <c r="L545" s="31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4.5">
      <c r="A546" s="40"/>
      <c r="B546" s="41"/>
      <c r="C546" s="42"/>
      <c r="D546" s="42"/>
      <c r="E546" s="43"/>
      <c r="F546" s="43"/>
      <c r="G546" s="43"/>
      <c r="H546" s="43"/>
      <c r="I546" s="43"/>
      <c r="J546" s="45"/>
      <c r="K546" s="46"/>
      <c r="L546" s="31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4.5">
      <c r="A547" s="40"/>
      <c r="B547" s="41"/>
      <c r="C547" s="42"/>
      <c r="D547" s="42"/>
      <c r="E547" s="43"/>
      <c r="F547" s="43"/>
      <c r="G547" s="43"/>
      <c r="H547" s="43"/>
      <c r="I547" s="43"/>
      <c r="J547" s="45"/>
      <c r="K547" s="46"/>
      <c r="L547" s="31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4.5">
      <c r="A548" s="40"/>
      <c r="B548" s="41"/>
      <c r="C548" s="42"/>
      <c r="D548" s="42"/>
      <c r="E548" s="43"/>
      <c r="F548" s="43"/>
      <c r="G548" s="43"/>
      <c r="H548" s="43"/>
      <c r="I548" s="43"/>
      <c r="J548" s="45"/>
      <c r="K548" s="46"/>
      <c r="L548" s="31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4.5">
      <c r="A549" s="40"/>
      <c r="B549" s="41"/>
      <c r="C549" s="42"/>
      <c r="D549" s="42"/>
      <c r="E549" s="43"/>
      <c r="F549" s="43"/>
      <c r="G549" s="43"/>
      <c r="H549" s="43"/>
      <c r="I549" s="43"/>
      <c r="J549" s="45"/>
      <c r="K549" s="46"/>
      <c r="L549" s="31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4.5">
      <c r="A550" s="40"/>
      <c r="B550" s="41"/>
      <c r="C550" s="42"/>
      <c r="D550" s="42"/>
      <c r="E550" s="43"/>
      <c r="F550" s="43"/>
      <c r="G550" s="43"/>
      <c r="H550" s="43"/>
      <c r="I550" s="43"/>
      <c r="J550" s="45"/>
      <c r="K550" s="46"/>
      <c r="L550" s="31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4.5">
      <c r="A551" s="40"/>
      <c r="B551" s="41"/>
      <c r="C551" s="42"/>
      <c r="D551" s="42"/>
      <c r="E551" s="43"/>
      <c r="F551" s="43"/>
      <c r="G551" s="43"/>
      <c r="H551" s="43"/>
      <c r="I551" s="43"/>
      <c r="J551" s="45"/>
      <c r="K551" s="46"/>
      <c r="L551" s="31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4.5">
      <c r="A552" s="40"/>
      <c r="B552" s="41"/>
      <c r="C552" s="42"/>
      <c r="D552" s="42"/>
      <c r="E552" s="43"/>
      <c r="F552" s="43"/>
      <c r="G552" s="43"/>
      <c r="H552" s="43"/>
      <c r="I552" s="43"/>
      <c r="J552" s="45"/>
      <c r="K552" s="46"/>
      <c r="L552" s="31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4.5">
      <c r="A553" s="40"/>
      <c r="B553" s="41"/>
      <c r="C553" s="42"/>
      <c r="D553" s="42"/>
      <c r="E553" s="43"/>
      <c r="F553" s="43"/>
      <c r="G553" s="43"/>
      <c r="H553" s="43"/>
      <c r="I553" s="43"/>
      <c r="J553" s="45"/>
      <c r="K553" s="46"/>
      <c r="L553" s="31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4.5">
      <c r="A554" s="40"/>
      <c r="B554" s="41"/>
      <c r="C554" s="42"/>
      <c r="D554" s="42"/>
      <c r="E554" s="43"/>
      <c r="F554" s="43"/>
      <c r="G554" s="43"/>
      <c r="H554" s="43"/>
      <c r="I554" s="43"/>
      <c r="J554" s="45"/>
      <c r="K554" s="46"/>
      <c r="L554" s="31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4.5">
      <c r="A555" s="40"/>
      <c r="B555" s="41"/>
      <c r="C555" s="42"/>
      <c r="D555" s="42"/>
      <c r="E555" s="43"/>
      <c r="F555" s="43"/>
      <c r="G555" s="43"/>
      <c r="H555" s="43"/>
      <c r="I555" s="43"/>
      <c r="J555" s="45"/>
      <c r="K555" s="46"/>
      <c r="L555" s="31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4.5">
      <c r="A556" s="40"/>
      <c r="B556" s="41"/>
      <c r="C556" s="42"/>
      <c r="D556" s="42"/>
      <c r="E556" s="43"/>
      <c r="F556" s="43"/>
      <c r="G556" s="43"/>
      <c r="H556" s="43"/>
      <c r="I556" s="43"/>
      <c r="J556" s="45"/>
      <c r="K556" s="46"/>
      <c r="L556" s="31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4.5">
      <c r="A557" s="40"/>
      <c r="B557" s="41"/>
      <c r="C557" s="42"/>
      <c r="D557" s="42"/>
      <c r="E557" s="43"/>
      <c r="F557" s="43"/>
      <c r="G557" s="43"/>
      <c r="H557" s="43"/>
      <c r="I557" s="43"/>
      <c r="J557" s="45"/>
      <c r="K557" s="46"/>
      <c r="L557" s="31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4.5">
      <c r="A558" s="40"/>
      <c r="B558" s="41"/>
      <c r="C558" s="42"/>
      <c r="D558" s="42"/>
      <c r="E558" s="43"/>
      <c r="F558" s="43"/>
      <c r="G558" s="43"/>
      <c r="H558" s="43"/>
      <c r="I558" s="43"/>
      <c r="J558" s="45"/>
      <c r="K558" s="46"/>
      <c r="L558" s="31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4.5">
      <c r="A559" s="40"/>
      <c r="B559" s="41"/>
      <c r="C559" s="42"/>
      <c r="D559" s="42"/>
      <c r="E559" s="43"/>
      <c r="F559" s="43"/>
      <c r="G559" s="43"/>
      <c r="H559" s="43"/>
      <c r="I559" s="43"/>
      <c r="J559" s="45"/>
      <c r="K559" s="46"/>
      <c r="L559" s="31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4.5">
      <c r="A560" s="40"/>
      <c r="B560" s="41"/>
      <c r="C560" s="42"/>
      <c r="D560" s="42"/>
      <c r="E560" s="43"/>
      <c r="F560" s="43"/>
      <c r="G560" s="43"/>
      <c r="H560" s="43"/>
      <c r="I560" s="43"/>
      <c r="J560" s="45"/>
      <c r="K560" s="46"/>
      <c r="L560" s="31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4.5">
      <c r="A561" s="40"/>
      <c r="B561" s="41"/>
      <c r="C561" s="42"/>
      <c r="D561" s="42"/>
      <c r="E561" s="43"/>
      <c r="F561" s="43"/>
      <c r="G561" s="43"/>
      <c r="H561" s="43"/>
      <c r="I561" s="43"/>
      <c r="J561" s="45"/>
      <c r="K561" s="46"/>
      <c r="L561" s="31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4.5">
      <c r="A562" s="40"/>
      <c r="B562" s="41"/>
      <c r="C562" s="42"/>
      <c r="D562" s="42"/>
      <c r="E562" s="43"/>
      <c r="F562" s="43"/>
      <c r="G562" s="43"/>
      <c r="H562" s="43"/>
      <c r="I562" s="43"/>
      <c r="J562" s="45"/>
      <c r="K562" s="46"/>
      <c r="L562" s="31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4.5">
      <c r="A563" s="40"/>
      <c r="B563" s="41"/>
      <c r="C563" s="42"/>
      <c r="D563" s="42"/>
      <c r="E563" s="43"/>
      <c r="F563" s="43"/>
      <c r="G563" s="43"/>
      <c r="H563" s="43"/>
      <c r="I563" s="43"/>
      <c r="J563" s="45"/>
      <c r="K563" s="46"/>
      <c r="L563" s="31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4.5">
      <c r="A564" s="40"/>
      <c r="B564" s="41"/>
      <c r="C564" s="42"/>
      <c r="D564" s="42"/>
      <c r="E564" s="43"/>
      <c r="F564" s="43"/>
      <c r="G564" s="43"/>
      <c r="H564" s="43"/>
      <c r="I564" s="43"/>
      <c r="J564" s="45"/>
      <c r="K564" s="46"/>
      <c r="L564" s="31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4.5">
      <c r="A565" s="40"/>
      <c r="B565" s="41"/>
      <c r="C565" s="42"/>
      <c r="D565" s="42"/>
      <c r="E565" s="43"/>
      <c r="F565" s="43"/>
      <c r="G565" s="43"/>
      <c r="H565" s="43"/>
      <c r="I565" s="43"/>
      <c r="J565" s="45"/>
      <c r="K565" s="46"/>
      <c r="L565" s="31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4.5">
      <c r="A566" s="40"/>
      <c r="B566" s="41"/>
      <c r="C566" s="42"/>
      <c r="D566" s="42"/>
      <c r="E566" s="43"/>
      <c r="F566" s="43"/>
      <c r="G566" s="43"/>
      <c r="H566" s="43"/>
      <c r="I566" s="43"/>
      <c r="J566" s="45"/>
      <c r="K566" s="46"/>
      <c r="L566" s="31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4.5">
      <c r="A567" s="40"/>
      <c r="B567" s="41"/>
      <c r="C567" s="42"/>
      <c r="D567" s="42"/>
      <c r="E567" s="43"/>
      <c r="F567" s="43"/>
      <c r="G567" s="43"/>
      <c r="H567" s="43"/>
      <c r="I567" s="43"/>
      <c r="J567" s="45"/>
      <c r="K567" s="46"/>
      <c r="L567" s="31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4.5">
      <c r="A568" s="40"/>
      <c r="B568" s="41"/>
      <c r="C568" s="42"/>
      <c r="D568" s="42"/>
      <c r="E568" s="43"/>
      <c r="F568" s="43"/>
      <c r="G568" s="43"/>
      <c r="H568" s="43"/>
      <c r="I568" s="43"/>
      <c r="J568" s="45"/>
      <c r="K568" s="46"/>
      <c r="L568" s="31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4.5">
      <c r="A569" s="40"/>
      <c r="B569" s="41"/>
      <c r="C569" s="42"/>
      <c r="D569" s="42"/>
      <c r="E569" s="43"/>
      <c r="F569" s="43"/>
      <c r="G569" s="43"/>
      <c r="H569" s="43"/>
      <c r="I569" s="43"/>
      <c r="J569" s="45"/>
      <c r="K569" s="46"/>
      <c r="L569" s="31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4.5">
      <c r="A570" s="40"/>
      <c r="B570" s="41"/>
      <c r="C570" s="42"/>
      <c r="D570" s="42"/>
      <c r="E570" s="43"/>
      <c r="F570" s="43"/>
      <c r="G570" s="43"/>
      <c r="H570" s="43"/>
      <c r="I570" s="43"/>
      <c r="J570" s="45"/>
      <c r="K570" s="46"/>
      <c r="L570" s="31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4.5">
      <c r="A571" s="40"/>
      <c r="B571" s="41"/>
      <c r="C571" s="42"/>
      <c r="D571" s="42"/>
      <c r="E571" s="43"/>
      <c r="F571" s="43"/>
      <c r="G571" s="43"/>
      <c r="H571" s="43"/>
      <c r="I571" s="43"/>
      <c r="J571" s="45"/>
      <c r="K571" s="46"/>
      <c r="L571" s="31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4.5">
      <c r="A572" s="40"/>
      <c r="B572" s="41"/>
      <c r="C572" s="42"/>
      <c r="D572" s="42"/>
      <c r="E572" s="43"/>
      <c r="F572" s="43"/>
      <c r="G572" s="43"/>
      <c r="H572" s="43"/>
      <c r="I572" s="43"/>
      <c r="J572" s="45"/>
      <c r="K572" s="46"/>
      <c r="L572" s="31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4.5">
      <c r="A573" s="40"/>
      <c r="B573" s="41"/>
      <c r="C573" s="42"/>
      <c r="D573" s="42"/>
      <c r="E573" s="43"/>
      <c r="F573" s="43"/>
      <c r="G573" s="43"/>
      <c r="H573" s="43"/>
      <c r="I573" s="43"/>
      <c r="J573" s="45"/>
      <c r="K573" s="46"/>
      <c r="L573" s="31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4.5">
      <c r="A574" s="40"/>
      <c r="B574" s="41"/>
      <c r="C574" s="42"/>
      <c r="D574" s="42"/>
      <c r="E574" s="43"/>
      <c r="F574" s="43"/>
      <c r="G574" s="43"/>
      <c r="H574" s="43"/>
      <c r="I574" s="43"/>
      <c r="J574" s="45"/>
      <c r="K574" s="46"/>
      <c r="L574" s="31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4.5">
      <c r="A575" s="40"/>
      <c r="B575" s="41"/>
      <c r="C575" s="42"/>
      <c r="D575" s="42"/>
      <c r="E575" s="43"/>
      <c r="F575" s="43"/>
      <c r="G575" s="43"/>
      <c r="H575" s="43"/>
      <c r="I575" s="43"/>
      <c r="J575" s="45"/>
      <c r="K575" s="46"/>
      <c r="L575" s="31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4.5">
      <c r="A576" s="40"/>
      <c r="B576" s="41"/>
      <c r="C576" s="42"/>
      <c r="D576" s="42"/>
      <c r="E576" s="43"/>
      <c r="F576" s="43"/>
      <c r="G576" s="43"/>
      <c r="H576" s="43"/>
      <c r="I576" s="43"/>
      <c r="J576" s="45"/>
      <c r="K576" s="46"/>
      <c r="L576" s="31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4.5">
      <c r="A577" s="40"/>
      <c r="B577" s="41"/>
      <c r="C577" s="42"/>
      <c r="D577" s="42"/>
      <c r="E577" s="43"/>
      <c r="F577" s="43"/>
      <c r="G577" s="43"/>
      <c r="H577" s="43"/>
      <c r="I577" s="43"/>
      <c r="J577" s="45"/>
      <c r="K577" s="46"/>
      <c r="L577" s="31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4.5">
      <c r="A578" s="40"/>
      <c r="B578" s="41"/>
      <c r="C578" s="42"/>
      <c r="D578" s="42"/>
      <c r="E578" s="43"/>
      <c r="F578" s="43"/>
      <c r="G578" s="43"/>
      <c r="H578" s="43"/>
      <c r="I578" s="43"/>
      <c r="J578" s="45"/>
      <c r="K578" s="46"/>
      <c r="L578" s="31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4.5">
      <c r="A579" s="40"/>
      <c r="B579" s="41"/>
      <c r="C579" s="42"/>
      <c r="D579" s="42"/>
      <c r="E579" s="43"/>
      <c r="F579" s="43"/>
      <c r="G579" s="43"/>
      <c r="H579" s="43"/>
      <c r="I579" s="43"/>
      <c r="J579" s="45"/>
      <c r="K579" s="46"/>
      <c r="L579" s="31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4.5">
      <c r="A580" s="40"/>
      <c r="B580" s="41"/>
      <c r="C580" s="42"/>
      <c r="D580" s="42"/>
      <c r="E580" s="43"/>
      <c r="F580" s="43"/>
      <c r="G580" s="43"/>
      <c r="H580" s="43"/>
      <c r="I580" s="43"/>
      <c r="J580" s="45"/>
      <c r="K580" s="46"/>
      <c r="L580" s="31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4.5">
      <c r="A581" s="40"/>
      <c r="B581" s="41"/>
      <c r="C581" s="42"/>
      <c r="D581" s="42"/>
      <c r="E581" s="43"/>
      <c r="F581" s="43"/>
      <c r="G581" s="43"/>
      <c r="H581" s="43"/>
      <c r="I581" s="43"/>
      <c r="J581" s="45"/>
      <c r="K581" s="46"/>
      <c r="L581" s="31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4.5">
      <c r="A582" s="40"/>
      <c r="B582" s="41"/>
      <c r="C582" s="42"/>
      <c r="D582" s="42"/>
      <c r="E582" s="43"/>
      <c r="F582" s="43"/>
      <c r="G582" s="43"/>
      <c r="H582" s="43"/>
      <c r="I582" s="43"/>
      <c r="J582" s="45"/>
      <c r="K582" s="46"/>
      <c r="L582" s="31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4.5">
      <c r="A583" s="40"/>
      <c r="B583" s="41"/>
      <c r="C583" s="42"/>
      <c r="D583" s="42"/>
      <c r="E583" s="43"/>
      <c r="F583" s="43"/>
      <c r="G583" s="43"/>
      <c r="H583" s="43"/>
      <c r="I583" s="43"/>
      <c r="J583" s="45"/>
      <c r="K583" s="46"/>
      <c r="L583" s="31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4.5">
      <c r="A584" s="40"/>
      <c r="B584" s="41"/>
      <c r="C584" s="42"/>
      <c r="D584" s="42"/>
      <c r="E584" s="43"/>
      <c r="F584" s="43"/>
      <c r="G584" s="43"/>
      <c r="H584" s="43"/>
      <c r="I584" s="43"/>
      <c r="J584" s="45"/>
      <c r="K584" s="46"/>
      <c r="L584" s="31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4.5">
      <c r="A585" s="40"/>
      <c r="B585" s="41"/>
      <c r="C585" s="42"/>
      <c r="D585" s="42"/>
      <c r="E585" s="43"/>
      <c r="F585" s="43"/>
      <c r="G585" s="43"/>
      <c r="H585" s="43"/>
      <c r="I585" s="43"/>
      <c r="J585" s="45"/>
      <c r="K585" s="46"/>
      <c r="L585" s="31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4.5">
      <c r="A586" s="40"/>
      <c r="B586" s="41"/>
      <c r="C586" s="42"/>
      <c r="D586" s="42"/>
      <c r="E586" s="43"/>
      <c r="F586" s="43"/>
      <c r="G586" s="43"/>
      <c r="H586" s="43"/>
      <c r="I586" s="43"/>
      <c r="J586" s="45"/>
      <c r="K586" s="46"/>
      <c r="L586" s="31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4.5">
      <c r="A587" s="40"/>
      <c r="B587" s="41"/>
      <c r="C587" s="42"/>
      <c r="D587" s="42"/>
      <c r="E587" s="43"/>
      <c r="F587" s="43"/>
      <c r="G587" s="43"/>
      <c r="H587" s="43"/>
      <c r="I587" s="43"/>
      <c r="J587" s="45"/>
      <c r="K587" s="46"/>
      <c r="L587" s="31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4.5">
      <c r="A588" s="40"/>
      <c r="B588" s="41"/>
      <c r="C588" s="42"/>
      <c r="D588" s="42"/>
      <c r="E588" s="43"/>
      <c r="F588" s="43"/>
      <c r="G588" s="43"/>
      <c r="H588" s="43"/>
      <c r="I588" s="43"/>
      <c r="J588" s="45"/>
      <c r="K588" s="46"/>
      <c r="L588" s="31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4.5">
      <c r="A589" s="40"/>
      <c r="B589" s="41"/>
      <c r="C589" s="42"/>
      <c r="D589" s="42"/>
      <c r="E589" s="43"/>
      <c r="F589" s="43"/>
      <c r="G589" s="43"/>
      <c r="H589" s="43"/>
      <c r="I589" s="43"/>
      <c r="J589" s="45"/>
      <c r="K589" s="46"/>
      <c r="L589" s="31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4.5">
      <c r="A590" s="40"/>
      <c r="B590" s="41"/>
      <c r="C590" s="42"/>
      <c r="D590" s="42"/>
      <c r="E590" s="43"/>
      <c r="F590" s="43"/>
      <c r="G590" s="43"/>
      <c r="H590" s="43"/>
      <c r="I590" s="43"/>
      <c r="J590" s="45"/>
      <c r="K590" s="46"/>
      <c r="L590" s="31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4.5">
      <c r="A591" s="40"/>
      <c r="B591" s="41"/>
      <c r="C591" s="42"/>
      <c r="D591" s="42"/>
      <c r="E591" s="43"/>
      <c r="F591" s="43"/>
      <c r="G591" s="43"/>
      <c r="H591" s="43"/>
      <c r="I591" s="43"/>
      <c r="J591" s="45"/>
      <c r="K591" s="46"/>
      <c r="L591" s="31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4.5">
      <c r="A592" s="40"/>
      <c r="B592" s="41"/>
      <c r="C592" s="42"/>
      <c r="D592" s="42"/>
      <c r="E592" s="43"/>
      <c r="F592" s="43"/>
      <c r="G592" s="43"/>
      <c r="H592" s="43"/>
      <c r="I592" s="43"/>
      <c r="J592" s="45"/>
      <c r="K592" s="46"/>
      <c r="L592" s="31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4.5">
      <c r="A593" s="40"/>
      <c r="B593" s="41"/>
      <c r="C593" s="42"/>
      <c r="D593" s="42"/>
      <c r="E593" s="43"/>
      <c r="F593" s="43"/>
      <c r="G593" s="43"/>
      <c r="H593" s="43"/>
      <c r="I593" s="43"/>
      <c r="J593" s="45"/>
      <c r="K593" s="46"/>
      <c r="L593" s="31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4.5">
      <c r="A594" s="40"/>
      <c r="B594" s="41"/>
      <c r="C594" s="42"/>
      <c r="D594" s="42"/>
      <c r="E594" s="43"/>
      <c r="F594" s="43"/>
      <c r="G594" s="43"/>
      <c r="H594" s="43"/>
      <c r="I594" s="43"/>
      <c r="J594" s="45"/>
      <c r="K594" s="46"/>
      <c r="L594" s="31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4.5">
      <c r="A595" s="40"/>
      <c r="B595" s="41"/>
      <c r="C595" s="42"/>
      <c r="D595" s="42"/>
      <c r="E595" s="43"/>
      <c r="F595" s="43"/>
      <c r="G595" s="43"/>
      <c r="H595" s="43"/>
      <c r="I595" s="43"/>
      <c r="J595" s="45"/>
      <c r="K595" s="46"/>
      <c r="L595" s="31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4.5">
      <c r="A596" s="40"/>
      <c r="B596" s="41"/>
      <c r="C596" s="42"/>
      <c r="D596" s="42"/>
      <c r="E596" s="43"/>
      <c r="F596" s="43"/>
      <c r="G596" s="43"/>
      <c r="H596" s="43"/>
      <c r="I596" s="43"/>
      <c r="J596" s="45"/>
      <c r="K596" s="46"/>
      <c r="L596" s="31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4.5">
      <c r="A597" s="40"/>
      <c r="B597" s="41"/>
      <c r="C597" s="42"/>
      <c r="D597" s="42"/>
      <c r="E597" s="43"/>
      <c r="F597" s="43"/>
      <c r="G597" s="43"/>
      <c r="H597" s="43"/>
      <c r="I597" s="43"/>
      <c r="J597" s="45"/>
      <c r="K597" s="46"/>
      <c r="L597" s="31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4.5">
      <c r="A598" s="40"/>
      <c r="B598" s="41"/>
      <c r="C598" s="42"/>
      <c r="D598" s="42"/>
      <c r="E598" s="43"/>
      <c r="F598" s="43"/>
      <c r="G598" s="43"/>
      <c r="H598" s="43"/>
      <c r="I598" s="43"/>
      <c r="J598" s="45"/>
      <c r="K598" s="46"/>
      <c r="L598" s="31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4.5">
      <c r="A599" s="40"/>
      <c r="B599" s="41"/>
      <c r="C599" s="42"/>
      <c r="D599" s="42"/>
      <c r="E599" s="43"/>
      <c r="F599" s="43"/>
      <c r="G599" s="43"/>
      <c r="H599" s="43"/>
      <c r="I599" s="43"/>
      <c r="J599" s="45"/>
      <c r="K599" s="46"/>
      <c r="L599" s="31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4.5">
      <c r="A600" s="40"/>
      <c r="B600" s="41"/>
      <c r="C600" s="42"/>
      <c r="D600" s="42"/>
      <c r="E600" s="43"/>
      <c r="F600" s="43"/>
      <c r="G600" s="43"/>
      <c r="H600" s="43"/>
      <c r="I600" s="43"/>
      <c r="J600" s="45"/>
      <c r="K600" s="46"/>
      <c r="L600" s="31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4.5">
      <c r="A601" s="40"/>
      <c r="B601" s="41"/>
      <c r="C601" s="42"/>
      <c r="D601" s="42"/>
      <c r="E601" s="43"/>
      <c r="F601" s="43"/>
      <c r="G601" s="43"/>
      <c r="H601" s="43"/>
      <c r="I601" s="43"/>
      <c r="J601" s="45"/>
      <c r="K601" s="46"/>
      <c r="L601" s="31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4.5">
      <c r="A602" s="40"/>
      <c r="B602" s="41"/>
      <c r="C602" s="42"/>
      <c r="D602" s="42"/>
      <c r="E602" s="43"/>
      <c r="F602" s="43"/>
      <c r="G602" s="43"/>
      <c r="H602" s="43"/>
      <c r="I602" s="43"/>
      <c r="J602" s="45"/>
      <c r="K602" s="46"/>
      <c r="L602" s="31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4.5">
      <c r="A603" s="40"/>
      <c r="B603" s="41"/>
      <c r="C603" s="42"/>
      <c r="D603" s="42"/>
      <c r="E603" s="43"/>
      <c r="F603" s="43"/>
      <c r="G603" s="43"/>
      <c r="H603" s="43"/>
      <c r="I603" s="43"/>
      <c r="J603" s="45"/>
      <c r="K603" s="46"/>
      <c r="L603" s="31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4.5">
      <c r="A604" s="40"/>
      <c r="B604" s="41"/>
      <c r="C604" s="42"/>
      <c r="D604" s="42"/>
      <c r="E604" s="43"/>
      <c r="F604" s="43"/>
      <c r="G604" s="43"/>
      <c r="H604" s="43"/>
      <c r="I604" s="43"/>
      <c r="J604" s="45"/>
      <c r="K604" s="46"/>
      <c r="L604" s="31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4.5">
      <c r="A605" s="40"/>
      <c r="B605" s="41"/>
      <c r="C605" s="42"/>
      <c r="D605" s="42"/>
      <c r="E605" s="43"/>
      <c r="F605" s="43"/>
      <c r="G605" s="43"/>
      <c r="H605" s="43"/>
      <c r="I605" s="43"/>
      <c r="J605" s="45"/>
      <c r="K605" s="46"/>
      <c r="L605" s="31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4.5">
      <c r="A606" s="40"/>
      <c r="B606" s="41"/>
      <c r="C606" s="42"/>
      <c r="D606" s="42"/>
      <c r="E606" s="43"/>
      <c r="F606" s="43"/>
      <c r="G606" s="43"/>
      <c r="H606" s="43"/>
      <c r="I606" s="43"/>
      <c r="J606" s="45"/>
      <c r="K606" s="46"/>
      <c r="L606" s="31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4.5">
      <c r="A607" s="40"/>
      <c r="B607" s="41"/>
      <c r="C607" s="42"/>
      <c r="D607" s="42"/>
      <c r="E607" s="43"/>
      <c r="F607" s="43"/>
      <c r="G607" s="43"/>
      <c r="H607" s="43"/>
      <c r="I607" s="43"/>
      <c r="J607" s="45"/>
      <c r="K607" s="46"/>
      <c r="L607" s="31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4.5">
      <c r="A608" s="40"/>
      <c r="B608" s="41"/>
      <c r="C608" s="42"/>
      <c r="D608" s="42"/>
      <c r="E608" s="43"/>
      <c r="F608" s="43"/>
      <c r="G608" s="43"/>
      <c r="H608" s="43"/>
      <c r="I608" s="43"/>
      <c r="J608" s="45"/>
      <c r="K608" s="46"/>
      <c r="L608" s="31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4.5">
      <c r="A609" s="40"/>
      <c r="B609" s="41"/>
      <c r="C609" s="42"/>
      <c r="D609" s="42"/>
      <c r="E609" s="43"/>
      <c r="F609" s="43"/>
      <c r="G609" s="43"/>
      <c r="H609" s="43"/>
      <c r="I609" s="43"/>
      <c r="J609" s="45"/>
      <c r="K609" s="46"/>
      <c r="L609" s="31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4.5">
      <c r="A610" s="40"/>
      <c r="B610" s="41"/>
      <c r="C610" s="42"/>
      <c r="D610" s="42"/>
      <c r="E610" s="43"/>
      <c r="F610" s="43"/>
      <c r="G610" s="43"/>
      <c r="H610" s="43"/>
      <c r="I610" s="43"/>
      <c r="J610" s="45"/>
      <c r="K610" s="46"/>
      <c r="L610" s="31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4.5">
      <c r="A611" s="40"/>
      <c r="B611" s="41"/>
      <c r="C611" s="42"/>
      <c r="D611" s="42"/>
      <c r="E611" s="43"/>
      <c r="F611" s="43"/>
      <c r="G611" s="43"/>
      <c r="H611" s="43"/>
      <c r="I611" s="43"/>
      <c r="J611" s="45"/>
      <c r="K611" s="46"/>
      <c r="L611" s="31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4.5">
      <c r="A612" s="40"/>
      <c r="B612" s="41"/>
      <c r="C612" s="42"/>
      <c r="D612" s="42"/>
      <c r="E612" s="43"/>
      <c r="F612" s="43"/>
      <c r="G612" s="43"/>
      <c r="H612" s="43"/>
      <c r="I612" s="43"/>
      <c r="J612" s="45"/>
      <c r="K612" s="46"/>
      <c r="L612" s="31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4.5">
      <c r="A613" s="40"/>
      <c r="B613" s="41"/>
      <c r="C613" s="42"/>
      <c r="D613" s="42"/>
      <c r="E613" s="43"/>
      <c r="F613" s="43"/>
      <c r="G613" s="43"/>
      <c r="H613" s="43"/>
      <c r="I613" s="43"/>
      <c r="J613" s="45"/>
      <c r="K613" s="46"/>
      <c r="L613" s="31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4.5">
      <c r="A614" s="40"/>
      <c r="B614" s="41"/>
      <c r="C614" s="42"/>
      <c r="D614" s="42"/>
      <c r="E614" s="43"/>
      <c r="F614" s="43"/>
      <c r="G614" s="43"/>
      <c r="H614" s="43"/>
      <c r="I614" s="43"/>
      <c r="J614" s="45"/>
      <c r="K614" s="46"/>
      <c r="L614" s="31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4.5">
      <c r="A615" s="40"/>
      <c r="B615" s="41"/>
      <c r="C615" s="42"/>
      <c r="D615" s="42"/>
      <c r="E615" s="43"/>
      <c r="F615" s="43"/>
      <c r="G615" s="43"/>
      <c r="H615" s="43"/>
      <c r="I615" s="43"/>
      <c r="J615" s="45"/>
      <c r="K615" s="46"/>
      <c r="L615" s="31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4.5">
      <c r="A616" s="40"/>
      <c r="B616" s="41"/>
      <c r="C616" s="42"/>
      <c r="D616" s="42"/>
      <c r="E616" s="43"/>
      <c r="F616" s="43"/>
      <c r="G616" s="43"/>
      <c r="H616" s="43"/>
      <c r="I616" s="43"/>
      <c r="J616" s="45"/>
      <c r="K616" s="46"/>
      <c r="L616" s="31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4.5">
      <c r="A617" s="40"/>
      <c r="B617" s="41"/>
      <c r="C617" s="42"/>
      <c r="D617" s="42"/>
      <c r="E617" s="43"/>
      <c r="F617" s="43"/>
      <c r="G617" s="43"/>
      <c r="H617" s="43"/>
      <c r="I617" s="43"/>
      <c r="J617" s="45"/>
      <c r="K617" s="46"/>
      <c r="L617" s="31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4.5">
      <c r="A618" s="40"/>
      <c r="B618" s="41"/>
      <c r="C618" s="42"/>
      <c r="D618" s="42"/>
      <c r="E618" s="43"/>
      <c r="F618" s="43"/>
      <c r="G618" s="43"/>
      <c r="H618" s="43"/>
      <c r="I618" s="43"/>
      <c r="J618" s="45"/>
      <c r="K618" s="46"/>
      <c r="L618" s="31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4.5">
      <c r="A619" s="40"/>
      <c r="B619" s="41"/>
      <c r="C619" s="42"/>
      <c r="D619" s="42"/>
      <c r="E619" s="43"/>
      <c r="F619" s="43"/>
      <c r="G619" s="43"/>
      <c r="H619" s="43"/>
      <c r="I619" s="43"/>
      <c r="J619" s="45"/>
      <c r="K619" s="46"/>
      <c r="L619" s="31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4.5">
      <c r="A620" s="40"/>
      <c r="B620" s="41"/>
      <c r="C620" s="42"/>
      <c r="D620" s="42"/>
      <c r="E620" s="43"/>
      <c r="F620" s="43"/>
      <c r="G620" s="43"/>
      <c r="H620" s="43"/>
      <c r="I620" s="43"/>
      <c r="J620" s="45"/>
      <c r="K620" s="46"/>
      <c r="L620" s="31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4.5">
      <c r="A621" s="40"/>
      <c r="B621" s="41"/>
      <c r="C621" s="42"/>
      <c r="D621" s="42"/>
      <c r="E621" s="43"/>
      <c r="F621" s="43"/>
      <c r="G621" s="43"/>
      <c r="H621" s="43"/>
      <c r="I621" s="43"/>
      <c r="J621" s="45"/>
      <c r="K621" s="46"/>
      <c r="L621" s="31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4.5">
      <c r="A622" s="40"/>
      <c r="B622" s="41"/>
      <c r="C622" s="42"/>
      <c r="D622" s="42"/>
      <c r="E622" s="43"/>
      <c r="F622" s="43"/>
      <c r="G622" s="43"/>
      <c r="H622" s="43"/>
      <c r="I622" s="43"/>
      <c r="J622" s="45"/>
      <c r="K622" s="46"/>
      <c r="L622" s="31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4.5">
      <c r="A623" s="40"/>
      <c r="B623" s="41"/>
      <c r="C623" s="42"/>
      <c r="D623" s="42"/>
      <c r="E623" s="43"/>
      <c r="F623" s="43"/>
      <c r="G623" s="43"/>
      <c r="H623" s="43"/>
      <c r="I623" s="43"/>
      <c r="J623" s="45"/>
      <c r="K623" s="46"/>
      <c r="L623" s="31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4.5">
      <c r="A624" s="40"/>
      <c r="B624" s="41"/>
      <c r="C624" s="42"/>
      <c r="D624" s="42"/>
      <c r="E624" s="43"/>
      <c r="F624" s="43"/>
      <c r="G624" s="43"/>
      <c r="H624" s="43"/>
      <c r="I624" s="43"/>
      <c r="J624" s="45"/>
      <c r="K624" s="46"/>
      <c r="L624" s="31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4.5">
      <c r="A625" s="40"/>
      <c r="B625" s="41"/>
      <c r="C625" s="42"/>
      <c r="D625" s="42"/>
      <c r="E625" s="43"/>
      <c r="F625" s="43"/>
      <c r="G625" s="43"/>
      <c r="H625" s="43"/>
      <c r="I625" s="43"/>
      <c r="J625" s="45"/>
      <c r="K625" s="46"/>
      <c r="L625" s="31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4.5">
      <c r="A626" s="40"/>
      <c r="B626" s="41"/>
      <c r="C626" s="42"/>
      <c r="D626" s="42"/>
      <c r="E626" s="43"/>
      <c r="F626" s="43"/>
      <c r="G626" s="43"/>
      <c r="H626" s="43"/>
      <c r="I626" s="43"/>
      <c r="J626" s="45"/>
      <c r="K626" s="46"/>
      <c r="L626" s="31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4.5">
      <c r="A627" s="40"/>
      <c r="B627" s="41"/>
      <c r="C627" s="42"/>
      <c r="D627" s="42"/>
      <c r="E627" s="43"/>
      <c r="F627" s="43"/>
      <c r="G627" s="43"/>
      <c r="H627" s="43"/>
      <c r="I627" s="43"/>
      <c r="J627" s="45"/>
      <c r="K627" s="46"/>
      <c r="L627" s="31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4.5">
      <c r="A628" s="40"/>
      <c r="B628" s="41"/>
      <c r="C628" s="42"/>
      <c r="D628" s="42"/>
      <c r="E628" s="43"/>
      <c r="F628" s="43"/>
      <c r="G628" s="43"/>
      <c r="H628" s="43"/>
      <c r="I628" s="43"/>
      <c r="J628" s="45"/>
      <c r="K628" s="46"/>
      <c r="L628" s="31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4.5">
      <c r="A629" s="40"/>
      <c r="B629" s="41"/>
      <c r="C629" s="42"/>
      <c r="D629" s="42"/>
      <c r="E629" s="43"/>
      <c r="F629" s="43"/>
      <c r="G629" s="43"/>
      <c r="H629" s="43"/>
      <c r="I629" s="43"/>
      <c r="J629" s="45"/>
      <c r="K629" s="46"/>
      <c r="L629" s="31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4.5">
      <c r="A630" s="40"/>
      <c r="B630" s="41"/>
      <c r="C630" s="42"/>
      <c r="D630" s="42"/>
      <c r="E630" s="43"/>
      <c r="F630" s="43"/>
      <c r="G630" s="43"/>
      <c r="H630" s="43"/>
      <c r="I630" s="43"/>
      <c r="J630" s="45"/>
      <c r="K630" s="46"/>
      <c r="L630" s="31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4.5">
      <c r="A631" s="40"/>
      <c r="B631" s="41"/>
      <c r="C631" s="42"/>
      <c r="D631" s="42"/>
      <c r="E631" s="43"/>
      <c r="F631" s="43"/>
      <c r="G631" s="43"/>
      <c r="H631" s="43"/>
      <c r="I631" s="43"/>
      <c r="J631" s="45"/>
      <c r="K631" s="46"/>
      <c r="L631" s="31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4.5">
      <c r="A632" s="40"/>
      <c r="B632" s="41"/>
      <c r="C632" s="42"/>
      <c r="D632" s="42"/>
      <c r="E632" s="43"/>
      <c r="F632" s="43"/>
      <c r="G632" s="43"/>
      <c r="H632" s="43"/>
      <c r="I632" s="43"/>
      <c r="J632" s="45"/>
      <c r="K632" s="46"/>
      <c r="L632" s="31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4.5">
      <c r="A633" s="40"/>
      <c r="B633" s="41"/>
      <c r="C633" s="42"/>
      <c r="D633" s="42"/>
      <c r="E633" s="43"/>
      <c r="F633" s="43"/>
      <c r="G633" s="43"/>
      <c r="H633" s="43"/>
      <c r="I633" s="43"/>
      <c r="J633" s="45"/>
      <c r="K633" s="46"/>
      <c r="L633" s="31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4.5">
      <c r="A634" s="40"/>
      <c r="B634" s="41"/>
      <c r="C634" s="42"/>
      <c r="D634" s="42"/>
      <c r="E634" s="43"/>
      <c r="F634" s="43"/>
      <c r="G634" s="43"/>
      <c r="H634" s="43"/>
      <c r="I634" s="43"/>
      <c r="J634" s="45"/>
      <c r="K634" s="46"/>
      <c r="L634" s="31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4.5">
      <c r="A635" s="40"/>
      <c r="B635" s="41"/>
      <c r="C635" s="42"/>
      <c r="D635" s="42"/>
      <c r="E635" s="43"/>
      <c r="F635" s="43"/>
      <c r="G635" s="43"/>
      <c r="H635" s="43"/>
      <c r="I635" s="43"/>
      <c r="J635" s="45"/>
      <c r="K635" s="46"/>
      <c r="L635" s="31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4.5">
      <c r="A636" s="40"/>
      <c r="B636" s="41"/>
      <c r="C636" s="42"/>
      <c r="D636" s="42"/>
      <c r="E636" s="43"/>
      <c r="F636" s="43"/>
      <c r="G636" s="43"/>
      <c r="H636" s="43"/>
      <c r="I636" s="43"/>
      <c r="J636" s="45"/>
      <c r="K636" s="46"/>
      <c r="L636" s="31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4.5">
      <c r="A637" s="40"/>
      <c r="B637" s="41"/>
      <c r="C637" s="42"/>
      <c r="D637" s="42"/>
      <c r="E637" s="43"/>
      <c r="F637" s="43"/>
      <c r="G637" s="43"/>
      <c r="H637" s="43"/>
      <c r="I637" s="43"/>
      <c r="J637" s="45"/>
      <c r="K637" s="46"/>
      <c r="L637" s="31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4.5">
      <c r="A638" s="40"/>
      <c r="B638" s="41"/>
      <c r="C638" s="42"/>
      <c r="D638" s="42"/>
      <c r="E638" s="43"/>
      <c r="F638" s="43"/>
      <c r="G638" s="43"/>
      <c r="H638" s="43"/>
      <c r="I638" s="43"/>
      <c r="J638" s="45"/>
      <c r="K638" s="46"/>
      <c r="L638" s="31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4.5">
      <c r="A639" s="40"/>
      <c r="B639" s="41"/>
      <c r="C639" s="42"/>
      <c r="D639" s="42"/>
      <c r="E639" s="43"/>
      <c r="F639" s="43"/>
      <c r="G639" s="43"/>
      <c r="H639" s="43"/>
      <c r="I639" s="43"/>
      <c r="J639" s="45"/>
      <c r="K639" s="46"/>
      <c r="L639" s="31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4.5">
      <c r="A640" s="40"/>
      <c r="B640" s="41"/>
      <c r="C640" s="42"/>
      <c r="D640" s="42"/>
      <c r="E640" s="43"/>
      <c r="F640" s="43"/>
      <c r="G640" s="43"/>
      <c r="H640" s="43"/>
      <c r="I640" s="43"/>
      <c r="J640" s="45"/>
      <c r="K640" s="46"/>
      <c r="L640" s="31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4.5">
      <c r="A641" s="40"/>
      <c r="B641" s="41"/>
      <c r="C641" s="42"/>
      <c r="D641" s="42"/>
      <c r="E641" s="43"/>
      <c r="F641" s="43"/>
      <c r="G641" s="43"/>
      <c r="H641" s="43"/>
      <c r="I641" s="43"/>
      <c r="J641" s="45"/>
      <c r="K641" s="46"/>
      <c r="L641" s="31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4.5">
      <c r="A642" s="40"/>
      <c r="B642" s="41"/>
      <c r="C642" s="42"/>
      <c r="D642" s="42"/>
      <c r="E642" s="43"/>
      <c r="F642" s="43"/>
      <c r="G642" s="43"/>
      <c r="H642" s="43"/>
      <c r="I642" s="43"/>
      <c r="J642" s="45"/>
      <c r="K642" s="46"/>
      <c r="L642" s="31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4.5">
      <c r="A643" s="40"/>
      <c r="B643" s="41"/>
      <c r="C643" s="42"/>
      <c r="D643" s="42"/>
      <c r="E643" s="43"/>
      <c r="F643" s="43"/>
      <c r="G643" s="43"/>
      <c r="H643" s="43"/>
      <c r="I643" s="43"/>
      <c r="J643" s="45"/>
      <c r="K643" s="46"/>
      <c r="L643" s="31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4.5">
      <c r="A644" s="40"/>
      <c r="B644" s="41"/>
      <c r="C644" s="42"/>
      <c r="D644" s="42"/>
      <c r="E644" s="43"/>
      <c r="F644" s="43"/>
      <c r="G644" s="43"/>
      <c r="H644" s="43"/>
      <c r="I644" s="43"/>
      <c r="J644" s="45"/>
      <c r="K644" s="46"/>
      <c r="L644" s="31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4.5">
      <c r="A645" s="40"/>
      <c r="B645" s="41"/>
      <c r="C645" s="42"/>
      <c r="D645" s="42"/>
      <c r="E645" s="43"/>
      <c r="F645" s="43"/>
      <c r="G645" s="43"/>
      <c r="H645" s="43"/>
      <c r="I645" s="43"/>
      <c r="J645" s="45"/>
      <c r="K645" s="46"/>
      <c r="L645" s="31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4.5">
      <c r="A646" s="40"/>
      <c r="B646" s="41"/>
      <c r="C646" s="42"/>
      <c r="D646" s="42"/>
      <c r="E646" s="43"/>
      <c r="F646" s="43"/>
      <c r="G646" s="43"/>
      <c r="H646" s="43"/>
      <c r="I646" s="43"/>
      <c r="J646" s="45"/>
      <c r="K646" s="46"/>
      <c r="L646" s="31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4.5">
      <c r="A647" s="40"/>
      <c r="B647" s="41"/>
      <c r="C647" s="42"/>
      <c r="D647" s="42"/>
      <c r="E647" s="43"/>
      <c r="F647" s="43"/>
      <c r="G647" s="43"/>
      <c r="H647" s="43"/>
      <c r="I647" s="43"/>
      <c r="J647" s="45"/>
      <c r="K647" s="46"/>
      <c r="L647" s="31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4.5">
      <c r="A648" s="40"/>
      <c r="B648" s="41"/>
      <c r="C648" s="42"/>
      <c r="D648" s="42"/>
      <c r="E648" s="43"/>
      <c r="F648" s="43"/>
      <c r="G648" s="43"/>
      <c r="H648" s="43"/>
      <c r="I648" s="43"/>
      <c r="J648" s="45"/>
      <c r="K648" s="46"/>
      <c r="L648" s="31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4.5">
      <c r="A649" s="40"/>
      <c r="B649" s="41"/>
      <c r="C649" s="42"/>
      <c r="D649" s="42"/>
      <c r="E649" s="43"/>
      <c r="F649" s="43"/>
      <c r="G649" s="43"/>
      <c r="H649" s="43"/>
      <c r="I649" s="43"/>
      <c r="J649" s="45"/>
      <c r="K649" s="46"/>
      <c r="L649" s="31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4.5">
      <c r="A650" s="40"/>
      <c r="B650" s="41"/>
      <c r="C650" s="42"/>
      <c r="D650" s="42"/>
      <c r="E650" s="43"/>
      <c r="F650" s="43"/>
      <c r="G650" s="43"/>
      <c r="H650" s="43"/>
      <c r="I650" s="43"/>
      <c r="J650" s="45"/>
      <c r="K650" s="46"/>
      <c r="L650" s="31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4.5">
      <c r="A651" s="40"/>
      <c r="B651" s="41"/>
      <c r="C651" s="42"/>
      <c r="D651" s="42"/>
      <c r="E651" s="43"/>
      <c r="F651" s="43"/>
      <c r="G651" s="43"/>
      <c r="H651" s="43"/>
      <c r="I651" s="43"/>
      <c r="J651" s="45"/>
      <c r="K651" s="46"/>
      <c r="L651" s="31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4.5">
      <c r="A652" s="40"/>
      <c r="B652" s="41"/>
      <c r="C652" s="42"/>
      <c r="D652" s="42"/>
      <c r="E652" s="43"/>
      <c r="F652" s="43"/>
      <c r="G652" s="43"/>
      <c r="H652" s="43"/>
      <c r="I652" s="43"/>
      <c r="J652" s="45"/>
      <c r="K652" s="46"/>
      <c r="L652" s="31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4.5">
      <c r="A653" s="40"/>
      <c r="B653" s="41"/>
      <c r="C653" s="42"/>
      <c r="D653" s="42"/>
      <c r="E653" s="43"/>
      <c r="F653" s="43"/>
      <c r="G653" s="43"/>
      <c r="H653" s="43"/>
      <c r="I653" s="43"/>
      <c r="J653" s="45"/>
      <c r="K653" s="46"/>
      <c r="L653" s="31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4.5">
      <c r="A654" s="40"/>
      <c r="B654" s="41"/>
      <c r="C654" s="42"/>
      <c r="D654" s="42"/>
      <c r="E654" s="43"/>
      <c r="F654" s="43"/>
      <c r="G654" s="43"/>
      <c r="H654" s="43"/>
      <c r="I654" s="43"/>
      <c r="J654" s="45"/>
      <c r="K654" s="46"/>
      <c r="L654" s="31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4.5">
      <c r="A655" s="40"/>
      <c r="B655" s="41"/>
      <c r="C655" s="42"/>
      <c r="D655" s="42"/>
      <c r="E655" s="43"/>
      <c r="F655" s="43"/>
      <c r="G655" s="43"/>
      <c r="H655" s="43"/>
      <c r="I655" s="43"/>
      <c r="J655" s="45"/>
      <c r="K655" s="46"/>
      <c r="L655" s="31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4.5">
      <c r="A656" s="40"/>
      <c r="B656" s="41"/>
      <c r="C656" s="42"/>
      <c r="D656" s="42"/>
      <c r="E656" s="43"/>
      <c r="F656" s="43"/>
      <c r="G656" s="43"/>
      <c r="H656" s="43"/>
      <c r="I656" s="43"/>
      <c r="J656" s="45"/>
      <c r="K656" s="46"/>
      <c r="L656" s="31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4.5">
      <c r="A657" s="40"/>
      <c r="B657" s="41"/>
      <c r="C657" s="42"/>
      <c r="D657" s="42"/>
      <c r="E657" s="43"/>
      <c r="F657" s="43"/>
      <c r="G657" s="43"/>
      <c r="H657" s="43"/>
      <c r="I657" s="43"/>
      <c r="J657" s="45"/>
      <c r="K657" s="46"/>
      <c r="L657" s="31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4.5">
      <c r="A658" s="40"/>
      <c r="B658" s="41"/>
      <c r="C658" s="42"/>
      <c r="D658" s="42"/>
      <c r="E658" s="43"/>
      <c r="F658" s="43"/>
      <c r="G658" s="43"/>
      <c r="H658" s="43"/>
      <c r="I658" s="43"/>
      <c r="J658" s="45"/>
      <c r="K658" s="46"/>
      <c r="L658" s="31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4.5">
      <c r="A659" s="40"/>
      <c r="B659" s="41"/>
      <c r="C659" s="42"/>
      <c r="D659" s="42"/>
      <c r="E659" s="43"/>
      <c r="F659" s="43"/>
      <c r="G659" s="43"/>
      <c r="H659" s="43"/>
      <c r="I659" s="43"/>
      <c r="J659" s="45"/>
      <c r="K659" s="46"/>
      <c r="L659" s="31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4.5">
      <c r="A660" s="40"/>
      <c r="B660" s="41"/>
      <c r="C660" s="42"/>
      <c r="D660" s="42"/>
      <c r="E660" s="43"/>
      <c r="F660" s="43"/>
      <c r="G660" s="43"/>
      <c r="H660" s="43"/>
      <c r="I660" s="43"/>
      <c r="J660" s="45"/>
      <c r="K660" s="46"/>
      <c r="L660" s="31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4.5">
      <c r="A661" s="40"/>
      <c r="B661" s="41"/>
      <c r="C661" s="42"/>
      <c r="D661" s="42"/>
      <c r="E661" s="43"/>
      <c r="F661" s="43"/>
      <c r="G661" s="43"/>
      <c r="H661" s="43"/>
      <c r="I661" s="43"/>
      <c r="J661" s="45"/>
      <c r="K661" s="46"/>
      <c r="L661" s="31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4.5">
      <c r="A662" s="40"/>
      <c r="B662" s="41"/>
      <c r="C662" s="42"/>
      <c r="D662" s="42"/>
      <c r="E662" s="43"/>
      <c r="F662" s="43"/>
      <c r="G662" s="43"/>
      <c r="H662" s="43"/>
      <c r="I662" s="43"/>
      <c r="J662" s="45"/>
      <c r="K662" s="46"/>
      <c r="L662" s="31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4.5">
      <c r="A663" s="40"/>
      <c r="B663" s="41"/>
      <c r="C663" s="42"/>
      <c r="D663" s="42"/>
      <c r="E663" s="43"/>
      <c r="F663" s="43"/>
      <c r="G663" s="43"/>
      <c r="H663" s="43"/>
      <c r="I663" s="43"/>
      <c r="J663" s="45"/>
      <c r="K663" s="46"/>
      <c r="L663" s="31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4.5">
      <c r="A664" s="40"/>
      <c r="B664" s="41"/>
      <c r="C664" s="42"/>
      <c r="D664" s="42"/>
      <c r="E664" s="43"/>
      <c r="F664" s="43"/>
      <c r="G664" s="43"/>
      <c r="H664" s="43"/>
      <c r="I664" s="43"/>
      <c r="J664" s="45"/>
      <c r="K664" s="46"/>
      <c r="L664" s="31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4.5">
      <c r="A665" s="40"/>
      <c r="B665" s="41"/>
      <c r="C665" s="42"/>
      <c r="D665" s="42"/>
      <c r="E665" s="43"/>
      <c r="F665" s="43"/>
      <c r="G665" s="43"/>
      <c r="H665" s="43"/>
      <c r="I665" s="43"/>
      <c r="J665" s="45"/>
      <c r="K665" s="46"/>
      <c r="L665" s="31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4.5">
      <c r="A666" s="40"/>
      <c r="B666" s="41"/>
      <c r="C666" s="42"/>
      <c r="D666" s="42"/>
      <c r="E666" s="43"/>
      <c r="F666" s="43"/>
      <c r="G666" s="43"/>
      <c r="H666" s="43"/>
      <c r="I666" s="43"/>
      <c r="J666" s="45"/>
      <c r="K666" s="46"/>
      <c r="L666" s="31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4.5">
      <c r="A667" s="40"/>
      <c r="B667" s="41"/>
      <c r="C667" s="42"/>
      <c r="D667" s="42"/>
      <c r="E667" s="43"/>
      <c r="F667" s="43"/>
      <c r="G667" s="43"/>
      <c r="H667" s="43"/>
      <c r="I667" s="43"/>
      <c r="J667" s="45"/>
      <c r="K667" s="46"/>
      <c r="L667" s="31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4.5">
      <c r="A668" s="40"/>
      <c r="B668" s="41"/>
      <c r="C668" s="42"/>
      <c r="D668" s="42"/>
      <c r="E668" s="43"/>
      <c r="F668" s="43"/>
      <c r="G668" s="43"/>
      <c r="H668" s="43"/>
      <c r="I668" s="43"/>
      <c r="J668" s="45"/>
      <c r="K668" s="46"/>
      <c r="L668" s="31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4.5">
      <c r="A669" s="40"/>
      <c r="B669" s="41"/>
      <c r="C669" s="42"/>
      <c r="D669" s="42"/>
      <c r="E669" s="43"/>
      <c r="F669" s="43"/>
      <c r="G669" s="43"/>
      <c r="H669" s="43"/>
      <c r="I669" s="43"/>
      <c r="J669" s="45"/>
      <c r="K669" s="46"/>
      <c r="L669" s="31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4.5">
      <c r="A670" s="40"/>
      <c r="B670" s="41"/>
      <c r="C670" s="42"/>
      <c r="D670" s="42"/>
      <c r="E670" s="43"/>
      <c r="F670" s="43"/>
      <c r="G670" s="43"/>
      <c r="H670" s="43"/>
      <c r="I670" s="43"/>
      <c r="J670" s="45"/>
      <c r="K670" s="46"/>
      <c r="L670" s="31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4.5">
      <c r="A671" s="40"/>
      <c r="B671" s="41"/>
      <c r="C671" s="42"/>
      <c r="D671" s="42"/>
      <c r="E671" s="43"/>
      <c r="F671" s="43"/>
      <c r="G671" s="43"/>
      <c r="H671" s="43"/>
      <c r="I671" s="43"/>
      <c r="J671" s="45"/>
      <c r="K671" s="46"/>
      <c r="L671" s="31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4.5">
      <c r="A672" s="40"/>
      <c r="B672" s="41"/>
      <c r="C672" s="42"/>
      <c r="D672" s="42"/>
      <c r="E672" s="43"/>
      <c r="F672" s="43"/>
      <c r="G672" s="43"/>
      <c r="H672" s="43"/>
      <c r="I672" s="43"/>
      <c r="J672" s="45"/>
      <c r="K672" s="46"/>
      <c r="L672" s="31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4.5">
      <c r="A673" s="40"/>
      <c r="B673" s="41"/>
      <c r="C673" s="42"/>
      <c r="D673" s="42"/>
      <c r="E673" s="43"/>
      <c r="F673" s="43"/>
      <c r="G673" s="43"/>
      <c r="H673" s="43"/>
      <c r="I673" s="43"/>
      <c r="J673" s="45"/>
      <c r="K673" s="46"/>
      <c r="L673" s="31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4.5">
      <c r="A674" s="40"/>
      <c r="B674" s="41"/>
      <c r="C674" s="42"/>
      <c r="D674" s="42"/>
      <c r="E674" s="43"/>
      <c r="F674" s="43"/>
      <c r="G674" s="43"/>
      <c r="H674" s="43"/>
      <c r="I674" s="43"/>
      <c r="J674" s="45"/>
      <c r="K674" s="46"/>
      <c r="L674" s="31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4.5">
      <c r="A675" s="40"/>
      <c r="B675" s="41"/>
      <c r="C675" s="42"/>
      <c r="D675" s="42"/>
      <c r="E675" s="43"/>
      <c r="F675" s="43"/>
      <c r="G675" s="43"/>
      <c r="H675" s="43"/>
      <c r="I675" s="43"/>
      <c r="J675" s="45"/>
      <c r="K675" s="46"/>
      <c r="L675" s="31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4.5">
      <c r="A676" s="40"/>
      <c r="B676" s="41"/>
      <c r="C676" s="42"/>
      <c r="D676" s="42"/>
      <c r="E676" s="43"/>
      <c r="F676" s="43"/>
      <c r="G676" s="43"/>
      <c r="H676" s="43"/>
      <c r="I676" s="43"/>
      <c r="J676" s="45"/>
      <c r="K676" s="46"/>
      <c r="L676" s="31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4.5">
      <c r="A677" s="40"/>
      <c r="B677" s="41"/>
      <c r="C677" s="42"/>
      <c r="D677" s="42"/>
      <c r="E677" s="43"/>
      <c r="F677" s="43"/>
      <c r="G677" s="43"/>
      <c r="H677" s="43"/>
      <c r="I677" s="43"/>
      <c r="J677" s="45"/>
      <c r="K677" s="46"/>
      <c r="L677" s="31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4.5">
      <c r="A678" s="40"/>
      <c r="B678" s="41"/>
      <c r="C678" s="42"/>
      <c r="D678" s="42"/>
      <c r="E678" s="43"/>
      <c r="F678" s="43"/>
      <c r="G678" s="43"/>
      <c r="H678" s="43"/>
      <c r="I678" s="43"/>
      <c r="J678" s="45"/>
      <c r="K678" s="46"/>
      <c r="L678" s="31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4.5">
      <c r="A679" s="40"/>
      <c r="B679" s="41"/>
      <c r="C679" s="42"/>
      <c r="D679" s="42"/>
      <c r="E679" s="43"/>
      <c r="F679" s="43"/>
      <c r="G679" s="43"/>
      <c r="H679" s="43"/>
      <c r="I679" s="43"/>
      <c r="J679" s="45"/>
      <c r="K679" s="46"/>
      <c r="L679" s="31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4.5">
      <c r="A680" s="40"/>
      <c r="B680" s="41"/>
      <c r="C680" s="42"/>
      <c r="D680" s="42"/>
      <c r="E680" s="43"/>
      <c r="F680" s="43"/>
      <c r="G680" s="43"/>
      <c r="H680" s="43"/>
      <c r="I680" s="43"/>
      <c r="J680" s="45"/>
      <c r="K680" s="46"/>
      <c r="L680" s="31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4.5">
      <c r="A681" s="40"/>
      <c r="B681" s="41"/>
      <c r="C681" s="42"/>
      <c r="D681" s="42"/>
      <c r="E681" s="43"/>
      <c r="F681" s="43"/>
      <c r="G681" s="43"/>
      <c r="H681" s="43"/>
      <c r="I681" s="43"/>
      <c r="J681" s="45"/>
      <c r="K681" s="46"/>
      <c r="L681" s="31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4.5">
      <c r="A682" s="40"/>
      <c r="B682" s="41"/>
      <c r="C682" s="42"/>
      <c r="D682" s="42"/>
      <c r="E682" s="43"/>
      <c r="F682" s="43"/>
      <c r="G682" s="43"/>
      <c r="H682" s="43"/>
      <c r="I682" s="43"/>
      <c r="J682" s="45"/>
      <c r="K682" s="46"/>
      <c r="L682" s="31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4.5">
      <c r="A683" s="40"/>
      <c r="B683" s="41"/>
      <c r="C683" s="42"/>
      <c r="D683" s="42"/>
      <c r="E683" s="43"/>
      <c r="F683" s="43"/>
      <c r="G683" s="43"/>
      <c r="H683" s="43"/>
      <c r="I683" s="43"/>
      <c r="J683" s="45"/>
      <c r="K683" s="46"/>
      <c r="L683" s="31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4.5">
      <c r="A684" s="40"/>
      <c r="B684" s="41"/>
      <c r="C684" s="42"/>
      <c r="D684" s="42"/>
      <c r="E684" s="43"/>
      <c r="F684" s="43"/>
      <c r="G684" s="43"/>
      <c r="H684" s="43"/>
      <c r="I684" s="43"/>
      <c r="J684" s="45"/>
      <c r="K684" s="46"/>
      <c r="L684" s="31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4.5">
      <c r="A685" s="40"/>
      <c r="B685" s="41"/>
      <c r="C685" s="42"/>
      <c r="D685" s="42"/>
      <c r="E685" s="43"/>
      <c r="F685" s="43"/>
      <c r="G685" s="43"/>
      <c r="H685" s="43"/>
      <c r="I685" s="43"/>
      <c r="J685" s="45"/>
      <c r="K685" s="46"/>
      <c r="L685" s="31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4.5">
      <c r="A686" s="40"/>
      <c r="B686" s="41"/>
      <c r="C686" s="42"/>
      <c r="D686" s="42"/>
      <c r="E686" s="43"/>
      <c r="F686" s="43"/>
      <c r="G686" s="43"/>
      <c r="H686" s="43"/>
      <c r="I686" s="43"/>
      <c r="J686" s="45"/>
      <c r="K686" s="46"/>
      <c r="L686" s="31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4.5">
      <c r="A687" s="40"/>
      <c r="B687" s="41"/>
      <c r="C687" s="42"/>
      <c r="D687" s="42"/>
      <c r="E687" s="43"/>
      <c r="F687" s="43"/>
      <c r="G687" s="43"/>
      <c r="H687" s="43"/>
      <c r="I687" s="43"/>
      <c r="J687" s="45"/>
      <c r="K687" s="46"/>
      <c r="L687" s="31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4.5">
      <c r="A688" s="40"/>
      <c r="B688" s="41"/>
      <c r="C688" s="42"/>
      <c r="D688" s="42"/>
      <c r="E688" s="43"/>
      <c r="F688" s="43"/>
      <c r="G688" s="43"/>
      <c r="H688" s="43"/>
      <c r="I688" s="43"/>
      <c r="J688" s="45"/>
      <c r="K688" s="46"/>
      <c r="L688" s="31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4.5">
      <c r="A689" s="40"/>
      <c r="B689" s="41"/>
      <c r="C689" s="42"/>
      <c r="D689" s="42"/>
      <c r="E689" s="43"/>
      <c r="F689" s="43"/>
      <c r="G689" s="43"/>
      <c r="H689" s="43"/>
      <c r="I689" s="43"/>
      <c r="J689" s="45"/>
      <c r="K689" s="46"/>
      <c r="L689" s="31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4.5">
      <c r="A690" s="40"/>
      <c r="B690" s="41"/>
      <c r="C690" s="42"/>
      <c r="D690" s="42"/>
      <c r="E690" s="43"/>
      <c r="F690" s="43"/>
      <c r="G690" s="43"/>
      <c r="H690" s="43"/>
      <c r="I690" s="43"/>
      <c r="J690" s="45"/>
      <c r="K690" s="46"/>
      <c r="L690" s="31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4.5">
      <c r="A691" s="40"/>
      <c r="B691" s="41"/>
      <c r="C691" s="42"/>
      <c r="D691" s="42"/>
      <c r="E691" s="43"/>
      <c r="F691" s="43"/>
      <c r="G691" s="43"/>
      <c r="H691" s="43"/>
      <c r="I691" s="43"/>
      <c r="J691" s="45"/>
      <c r="K691" s="46"/>
      <c r="L691" s="31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4.5">
      <c r="A692" s="40"/>
      <c r="B692" s="41"/>
      <c r="C692" s="42"/>
      <c r="D692" s="42"/>
      <c r="E692" s="43"/>
      <c r="F692" s="43"/>
      <c r="G692" s="43"/>
      <c r="H692" s="43"/>
      <c r="I692" s="43"/>
      <c r="J692" s="45"/>
      <c r="K692" s="46"/>
      <c r="L692" s="31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4.5">
      <c r="A693" s="40"/>
      <c r="B693" s="41"/>
      <c r="C693" s="42"/>
      <c r="D693" s="42"/>
      <c r="E693" s="43"/>
      <c r="F693" s="43"/>
      <c r="G693" s="43"/>
      <c r="H693" s="43"/>
      <c r="I693" s="43"/>
      <c r="J693" s="45"/>
      <c r="K693" s="46"/>
      <c r="L693" s="31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4.5">
      <c r="A694" s="40"/>
      <c r="B694" s="41"/>
      <c r="C694" s="42"/>
      <c r="D694" s="42"/>
      <c r="E694" s="43"/>
      <c r="F694" s="43"/>
      <c r="G694" s="43"/>
      <c r="H694" s="43"/>
      <c r="I694" s="43"/>
      <c r="J694" s="45"/>
      <c r="K694" s="46"/>
      <c r="L694" s="31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4.5">
      <c r="A695" s="40"/>
      <c r="B695" s="41"/>
      <c r="C695" s="42"/>
      <c r="D695" s="42"/>
      <c r="E695" s="43"/>
      <c r="F695" s="43"/>
      <c r="G695" s="43"/>
      <c r="H695" s="43"/>
      <c r="I695" s="43"/>
      <c r="J695" s="45"/>
      <c r="K695" s="46"/>
      <c r="L695" s="31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4.5">
      <c r="A696" s="40"/>
      <c r="B696" s="41"/>
      <c r="C696" s="42"/>
      <c r="D696" s="42"/>
      <c r="E696" s="43"/>
      <c r="F696" s="43"/>
      <c r="G696" s="43"/>
      <c r="H696" s="43"/>
      <c r="I696" s="43"/>
      <c r="J696" s="45"/>
      <c r="K696" s="46"/>
      <c r="L696" s="31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4.5">
      <c r="A697" s="40"/>
      <c r="B697" s="41"/>
      <c r="C697" s="42"/>
      <c r="D697" s="42"/>
      <c r="E697" s="43"/>
      <c r="F697" s="43"/>
      <c r="G697" s="43"/>
      <c r="H697" s="43"/>
      <c r="I697" s="43"/>
      <c r="J697" s="45"/>
      <c r="K697" s="46"/>
      <c r="L697" s="31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4.5">
      <c r="A698" s="40"/>
      <c r="B698" s="41"/>
      <c r="C698" s="42"/>
      <c r="D698" s="42"/>
      <c r="E698" s="43"/>
      <c r="F698" s="43"/>
      <c r="G698" s="43"/>
      <c r="H698" s="43"/>
      <c r="I698" s="43"/>
      <c r="J698" s="45"/>
      <c r="K698" s="46"/>
      <c r="L698" s="31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4.5">
      <c r="A699" s="40"/>
      <c r="B699" s="41"/>
      <c r="C699" s="42"/>
      <c r="D699" s="42"/>
      <c r="E699" s="43"/>
      <c r="F699" s="43"/>
      <c r="G699" s="43"/>
      <c r="H699" s="43"/>
      <c r="I699" s="43"/>
      <c r="J699" s="45"/>
      <c r="K699" s="46"/>
      <c r="L699" s="31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4.5">
      <c r="A700" s="40"/>
      <c r="B700" s="41"/>
      <c r="C700" s="42"/>
      <c r="D700" s="42"/>
      <c r="E700" s="43"/>
      <c r="F700" s="43"/>
      <c r="G700" s="43"/>
      <c r="H700" s="43"/>
      <c r="I700" s="43"/>
      <c r="J700" s="45"/>
      <c r="K700" s="46"/>
      <c r="L700" s="31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4.5">
      <c r="A701" s="40"/>
      <c r="B701" s="41"/>
      <c r="C701" s="42"/>
      <c r="D701" s="42"/>
      <c r="E701" s="43"/>
      <c r="F701" s="43"/>
      <c r="G701" s="43"/>
      <c r="H701" s="43"/>
      <c r="I701" s="43"/>
      <c r="J701" s="45"/>
      <c r="K701" s="46"/>
      <c r="L701" s="31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4.5">
      <c r="A702" s="40"/>
      <c r="B702" s="41"/>
      <c r="C702" s="42"/>
      <c r="D702" s="42"/>
      <c r="E702" s="43"/>
      <c r="F702" s="43"/>
      <c r="G702" s="43"/>
      <c r="H702" s="43"/>
      <c r="I702" s="43"/>
      <c r="J702" s="45"/>
      <c r="K702" s="46"/>
      <c r="L702" s="31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4.5">
      <c r="A703" s="40"/>
      <c r="B703" s="41"/>
      <c r="C703" s="42"/>
      <c r="D703" s="42"/>
      <c r="E703" s="43"/>
      <c r="F703" s="43"/>
      <c r="G703" s="43"/>
      <c r="H703" s="43"/>
      <c r="I703" s="43"/>
      <c r="J703" s="45"/>
      <c r="K703" s="46"/>
      <c r="L703" s="31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4.5">
      <c r="A704" s="40"/>
      <c r="B704" s="41"/>
      <c r="C704" s="42"/>
      <c r="D704" s="42"/>
      <c r="E704" s="43"/>
      <c r="F704" s="43"/>
      <c r="G704" s="43"/>
      <c r="H704" s="43"/>
      <c r="I704" s="43"/>
      <c r="J704" s="45"/>
      <c r="K704" s="46"/>
      <c r="L704" s="31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4.5">
      <c r="A705" s="40"/>
      <c r="B705" s="41"/>
      <c r="C705" s="42"/>
      <c r="D705" s="42"/>
      <c r="E705" s="43"/>
      <c r="F705" s="43"/>
      <c r="G705" s="43"/>
      <c r="H705" s="43"/>
      <c r="I705" s="43"/>
      <c r="J705" s="45"/>
      <c r="K705" s="46"/>
      <c r="L705" s="31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4.5">
      <c r="A706" s="40"/>
      <c r="B706" s="41"/>
      <c r="C706" s="42"/>
      <c r="D706" s="42"/>
      <c r="E706" s="43"/>
      <c r="F706" s="43"/>
      <c r="G706" s="43"/>
      <c r="H706" s="43"/>
      <c r="I706" s="43"/>
      <c r="J706" s="45"/>
      <c r="K706" s="46"/>
      <c r="L706" s="31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4.5">
      <c r="A707" s="40"/>
      <c r="B707" s="41"/>
      <c r="C707" s="42"/>
      <c r="D707" s="42"/>
      <c r="E707" s="43"/>
      <c r="F707" s="43"/>
      <c r="G707" s="43"/>
      <c r="H707" s="43"/>
      <c r="I707" s="43"/>
      <c r="J707" s="45"/>
      <c r="K707" s="46"/>
      <c r="L707" s="31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4.5">
      <c r="A708" s="40"/>
      <c r="B708" s="41"/>
      <c r="C708" s="42"/>
      <c r="D708" s="42"/>
      <c r="E708" s="43"/>
      <c r="F708" s="43"/>
      <c r="G708" s="43"/>
      <c r="H708" s="43"/>
      <c r="I708" s="43"/>
      <c r="J708" s="45"/>
      <c r="K708" s="46"/>
      <c r="L708" s="31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4.5">
      <c r="A709" s="40"/>
      <c r="B709" s="41"/>
      <c r="C709" s="42"/>
      <c r="D709" s="42"/>
      <c r="E709" s="43"/>
      <c r="F709" s="43"/>
      <c r="G709" s="43"/>
      <c r="H709" s="43"/>
      <c r="I709" s="43"/>
      <c r="J709" s="45"/>
      <c r="K709" s="46"/>
      <c r="L709" s="31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4.5">
      <c r="A710" s="40"/>
      <c r="B710" s="41"/>
      <c r="C710" s="42"/>
      <c r="D710" s="42"/>
      <c r="E710" s="43"/>
      <c r="F710" s="43"/>
      <c r="G710" s="43"/>
      <c r="H710" s="43"/>
      <c r="I710" s="43"/>
      <c r="J710" s="45"/>
      <c r="K710" s="46"/>
      <c r="L710" s="31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4.5">
      <c r="A711" s="40"/>
      <c r="B711" s="41"/>
      <c r="C711" s="42"/>
      <c r="D711" s="42"/>
      <c r="E711" s="43"/>
      <c r="F711" s="43"/>
      <c r="G711" s="43"/>
      <c r="H711" s="43"/>
      <c r="I711" s="43"/>
      <c r="J711" s="45"/>
      <c r="K711" s="46"/>
      <c r="L711" s="31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4.5">
      <c r="A712" s="40"/>
      <c r="B712" s="41"/>
      <c r="C712" s="42"/>
      <c r="D712" s="42"/>
      <c r="E712" s="43"/>
      <c r="F712" s="43"/>
      <c r="G712" s="43"/>
      <c r="H712" s="43"/>
      <c r="I712" s="43"/>
      <c r="J712" s="45"/>
      <c r="K712" s="46"/>
      <c r="L712" s="31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4.5">
      <c r="A713" s="40"/>
      <c r="B713" s="41"/>
      <c r="C713" s="42"/>
      <c r="D713" s="42"/>
      <c r="E713" s="43"/>
      <c r="F713" s="43"/>
      <c r="G713" s="43"/>
      <c r="H713" s="43"/>
      <c r="I713" s="43"/>
      <c r="J713" s="45"/>
      <c r="K713" s="46"/>
      <c r="L713" s="31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4.5">
      <c r="A714" s="40"/>
      <c r="B714" s="41"/>
      <c r="C714" s="42"/>
      <c r="D714" s="42"/>
      <c r="E714" s="43"/>
      <c r="F714" s="43"/>
      <c r="G714" s="43"/>
      <c r="H714" s="43"/>
      <c r="I714" s="43"/>
      <c r="J714" s="45"/>
      <c r="K714" s="46"/>
      <c r="L714" s="31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4.5">
      <c r="A715" s="40"/>
      <c r="B715" s="41"/>
      <c r="C715" s="42"/>
      <c r="D715" s="42"/>
      <c r="E715" s="43"/>
      <c r="F715" s="43"/>
      <c r="G715" s="43"/>
      <c r="H715" s="43"/>
      <c r="I715" s="43"/>
      <c r="J715" s="45"/>
      <c r="K715" s="46"/>
      <c r="L715" s="31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4.5">
      <c r="A716" s="40"/>
      <c r="B716" s="41"/>
      <c r="C716" s="42"/>
      <c r="D716" s="42"/>
      <c r="E716" s="43"/>
      <c r="F716" s="43"/>
      <c r="G716" s="43"/>
      <c r="H716" s="43"/>
      <c r="I716" s="43"/>
      <c r="J716" s="45"/>
      <c r="K716" s="46"/>
      <c r="L716" s="31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4.5">
      <c r="A717" s="40"/>
      <c r="B717" s="41"/>
      <c r="C717" s="42"/>
      <c r="D717" s="42"/>
      <c r="E717" s="43"/>
      <c r="F717" s="43"/>
      <c r="G717" s="43"/>
      <c r="H717" s="43"/>
      <c r="I717" s="43"/>
      <c r="J717" s="45"/>
      <c r="K717" s="46"/>
      <c r="L717" s="31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4.5">
      <c r="A718" s="40"/>
      <c r="B718" s="41"/>
      <c r="C718" s="42"/>
      <c r="D718" s="42"/>
      <c r="E718" s="43"/>
      <c r="F718" s="43"/>
      <c r="G718" s="43"/>
      <c r="H718" s="43"/>
      <c r="I718" s="43"/>
      <c r="J718" s="45"/>
      <c r="K718" s="46"/>
      <c r="L718" s="31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4.5">
      <c r="A719" s="40"/>
      <c r="B719" s="41"/>
      <c r="C719" s="42"/>
      <c r="D719" s="42"/>
      <c r="E719" s="43"/>
      <c r="F719" s="43"/>
      <c r="G719" s="43"/>
      <c r="H719" s="43"/>
      <c r="I719" s="43"/>
      <c r="J719" s="45"/>
      <c r="K719" s="46"/>
      <c r="L719" s="31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4.5">
      <c r="A720" s="40"/>
      <c r="B720" s="41"/>
      <c r="C720" s="42"/>
      <c r="D720" s="42"/>
      <c r="E720" s="43"/>
      <c r="F720" s="43"/>
      <c r="G720" s="43"/>
      <c r="H720" s="43"/>
      <c r="I720" s="43"/>
      <c r="J720" s="45"/>
      <c r="K720" s="46"/>
      <c r="L720" s="31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4.5">
      <c r="A721" s="40"/>
      <c r="B721" s="41"/>
      <c r="C721" s="42"/>
      <c r="D721" s="42"/>
      <c r="E721" s="43"/>
      <c r="F721" s="43"/>
      <c r="G721" s="43"/>
      <c r="H721" s="43"/>
      <c r="I721" s="43"/>
      <c r="J721" s="45"/>
      <c r="K721" s="46"/>
      <c r="L721" s="31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4.5">
      <c r="A722" s="40"/>
      <c r="B722" s="41"/>
      <c r="C722" s="42"/>
      <c r="D722" s="42"/>
      <c r="E722" s="43"/>
      <c r="F722" s="43"/>
      <c r="G722" s="43"/>
      <c r="H722" s="43"/>
      <c r="I722" s="43"/>
      <c r="J722" s="45"/>
      <c r="K722" s="46"/>
      <c r="L722" s="31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4.5">
      <c r="A723" s="40"/>
      <c r="B723" s="41"/>
      <c r="C723" s="42"/>
      <c r="D723" s="42"/>
      <c r="E723" s="43"/>
      <c r="F723" s="43"/>
      <c r="G723" s="43"/>
      <c r="H723" s="43"/>
      <c r="I723" s="43"/>
      <c r="J723" s="45"/>
      <c r="K723" s="46"/>
      <c r="L723" s="31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4.5">
      <c r="A724" s="40"/>
      <c r="B724" s="41"/>
      <c r="C724" s="42"/>
      <c r="D724" s="42"/>
      <c r="E724" s="43"/>
      <c r="F724" s="43"/>
      <c r="G724" s="43"/>
      <c r="H724" s="43"/>
      <c r="I724" s="43"/>
      <c r="J724" s="45"/>
      <c r="K724" s="46"/>
      <c r="L724" s="31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4.5">
      <c r="A725" s="40"/>
      <c r="B725" s="41"/>
      <c r="C725" s="42"/>
      <c r="D725" s="42"/>
      <c r="E725" s="43"/>
      <c r="F725" s="43"/>
      <c r="G725" s="43"/>
      <c r="H725" s="43"/>
      <c r="I725" s="43"/>
      <c r="J725" s="45"/>
      <c r="K725" s="46"/>
      <c r="L725" s="31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4.5">
      <c r="A726" s="40"/>
      <c r="B726" s="41"/>
      <c r="C726" s="42"/>
      <c r="D726" s="42"/>
      <c r="E726" s="43"/>
      <c r="F726" s="43"/>
      <c r="G726" s="43"/>
      <c r="H726" s="43"/>
      <c r="I726" s="43"/>
      <c r="J726" s="45"/>
      <c r="K726" s="46"/>
      <c r="L726" s="31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4.5">
      <c r="A727" s="40"/>
      <c r="B727" s="41"/>
      <c r="C727" s="42"/>
      <c r="D727" s="42"/>
      <c r="E727" s="43"/>
      <c r="F727" s="43"/>
      <c r="G727" s="43"/>
      <c r="H727" s="43"/>
      <c r="I727" s="43"/>
      <c r="J727" s="45"/>
      <c r="K727" s="46"/>
      <c r="L727" s="31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4.5">
      <c r="A728" s="40"/>
      <c r="B728" s="41"/>
      <c r="C728" s="42"/>
      <c r="D728" s="42"/>
      <c r="E728" s="43"/>
      <c r="F728" s="43"/>
      <c r="G728" s="43"/>
      <c r="H728" s="43"/>
      <c r="I728" s="43"/>
      <c r="J728" s="45"/>
      <c r="K728" s="46"/>
      <c r="L728" s="31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4.5">
      <c r="A729" s="40"/>
      <c r="B729" s="41"/>
      <c r="C729" s="42"/>
      <c r="D729" s="42"/>
      <c r="E729" s="43"/>
      <c r="F729" s="43"/>
      <c r="G729" s="43"/>
      <c r="H729" s="43"/>
      <c r="I729" s="43"/>
      <c r="J729" s="45"/>
      <c r="K729" s="46"/>
      <c r="L729" s="31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4.5">
      <c r="A730" s="40"/>
      <c r="B730" s="41"/>
      <c r="C730" s="42"/>
      <c r="D730" s="42"/>
      <c r="E730" s="43"/>
      <c r="F730" s="43"/>
      <c r="G730" s="43"/>
      <c r="H730" s="43"/>
      <c r="I730" s="43"/>
      <c r="J730" s="45"/>
      <c r="K730" s="46"/>
      <c r="L730" s="31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4.5">
      <c r="A731" s="40"/>
      <c r="B731" s="41"/>
      <c r="C731" s="42"/>
      <c r="D731" s="42"/>
      <c r="E731" s="43"/>
      <c r="F731" s="43"/>
      <c r="G731" s="43"/>
      <c r="H731" s="43"/>
      <c r="I731" s="43"/>
      <c r="J731" s="45"/>
      <c r="K731" s="46"/>
      <c r="L731" s="31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4.5">
      <c r="A732" s="40"/>
      <c r="B732" s="41"/>
      <c r="C732" s="42"/>
      <c r="D732" s="42"/>
      <c r="E732" s="43"/>
      <c r="F732" s="43"/>
      <c r="G732" s="43"/>
      <c r="H732" s="43"/>
      <c r="I732" s="43"/>
      <c r="J732" s="45"/>
      <c r="K732" s="46"/>
      <c r="L732" s="31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4.5">
      <c r="A733" s="40"/>
      <c r="B733" s="41"/>
      <c r="C733" s="42"/>
      <c r="D733" s="42"/>
      <c r="E733" s="43"/>
      <c r="F733" s="43"/>
      <c r="G733" s="43"/>
      <c r="H733" s="43"/>
      <c r="I733" s="43"/>
      <c r="J733" s="45"/>
      <c r="K733" s="46"/>
      <c r="L733" s="31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4.5">
      <c r="A734" s="40"/>
      <c r="B734" s="41"/>
      <c r="C734" s="42"/>
      <c r="D734" s="42"/>
      <c r="E734" s="43"/>
      <c r="F734" s="43"/>
      <c r="G734" s="43"/>
      <c r="H734" s="43"/>
      <c r="I734" s="43"/>
      <c r="J734" s="45"/>
      <c r="K734" s="46"/>
      <c r="L734" s="31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4.5">
      <c r="A735" s="40"/>
      <c r="B735" s="41"/>
      <c r="C735" s="42"/>
      <c r="D735" s="42"/>
      <c r="E735" s="43"/>
      <c r="F735" s="43"/>
      <c r="G735" s="43"/>
      <c r="H735" s="43"/>
      <c r="I735" s="43"/>
      <c r="J735" s="45"/>
      <c r="K735" s="46"/>
      <c r="L735" s="31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4.5">
      <c r="A736" s="40"/>
      <c r="B736" s="41"/>
      <c r="C736" s="42"/>
      <c r="D736" s="42"/>
      <c r="E736" s="43"/>
      <c r="F736" s="43"/>
      <c r="G736" s="43"/>
      <c r="H736" s="43"/>
      <c r="I736" s="43"/>
      <c r="J736" s="45"/>
      <c r="K736" s="46"/>
      <c r="L736" s="31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4.5">
      <c r="A737" s="40"/>
      <c r="B737" s="41"/>
      <c r="C737" s="42"/>
      <c r="D737" s="42"/>
      <c r="E737" s="43"/>
      <c r="F737" s="43"/>
      <c r="G737" s="43"/>
      <c r="H737" s="43"/>
      <c r="I737" s="43"/>
      <c r="J737" s="45"/>
      <c r="K737" s="46"/>
      <c r="L737" s="31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4.5">
      <c r="A738" s="40"/>
      <c r="B738" s="41"/>
      <c r="C738" s="42"/>
      <c r="D738" s="42"/>
      <c r="E738" s="43"/>
      <c r="F738" s="43"/>
      <c r="G738" s="43"/>
      <c r="H738" s="43"/>
      <c r="I738" s="43"/>
      <c r="J738" s="45"/>
      <c r="K738" s="46"/>
      <c r="L738" s="31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4.5">
      <c r="A739" s="40"/>
      <c r="B739" s="41"/>
      <c r="C739" s="42"/>
      <c r="D739" s="42"/>
      <c r="E739" s="43"/>
      <c r="F739" s="43"/>
      <c r="G739" s="43"/>
      <c r="H739" s="43"/>
      <c r="I739" s="43"/>
      <c r="J739" s="45"/>
      <c r="K739" s="46"/>
      <c r="L739" s="31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4.5">
      <c r="A740" s="40"/>
      <c r="B740" s="41"/>
      <c r="C740" s="42"/>
      <c r="D740" s="42"/>
      <c r="E740" s="43"/>
      <c r="F740" s="43"/>
      <c r="G740" s="43"/>
      <c r="H740" s="43"/>
      <c r="I740" s="43"/>
      <c r="J740" s="45"/>
      <c r="K740" s="46"/>
      <c r="L740" s="31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4.5">
      <c r="A741" s="40"/>
      <c r="B741" s="41"/>
      <c r="C741" s="42"/>
      <c r="D741" s="42"/>
      <c r="E741" s="43"/>
      <c r="F741" s="43"/>
      <c r="G741" s="43"/>
      <c r="H741" s="43"/>
      <c r="I741" s="43"/>
      <c r="J741" s="45"/>
      <c r="K741" s="46"/>
      <c r="L741" s="31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4.5">
      <c r="A742" s="40"/>
      <c r="B742" s="41"/>
      <c r="C742" s="42"/>
      <c r="D742" s="42"/>
      <c r="E742" s="43"/>
      <c r="F742" s="43"/>
      <c r="G742" s="43"/>
      <c r="H742" s="43"/>
      <c r="I742" s="43"/>
      <c r="J742" s="45"/>
      <c r="K742" s="46"/>
      <c r="L742" s="31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4.5">
      <c r="A743" s="40"/>
      <c r="B743" s="41"/>
      <c r="C743" s="42"/>
      <c r="D743" s="42"/>
      <c r="E743" s="43"/>
      <c r="F743" s="43"/>
      <c r="G743" s="43"/>
      <c r="H743" s="43"/>
      <c r="I743" s="43"/>
      <c r="J743" s="45"/>
      <c r="K743" s="46"/>
      <c r="L743" s="31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4.5">
      <c r="A744" s="40"/>
      <c r="B744" s="41"/>
      <c r="C744" s="42"/>
      <c r="D744" s="42"/>
      <c r="E744" s="43"/>
      <c r="F744" s="43"/>
      <c r="G744" s="43"/>
      <c r="H744" s="43"/>
      <c r="I744" s="43"/>
      <c r="J744" s="45"/>
      <c r="K744" s="46"/>
      <c r="L744" s="31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4.5">
      <c r="A745" s="40"/>
      <c r="B745" s="41"/>
      <c r="C745" s="42"/>
      <c r="D745" s="42"/>
      <c r="E745" s="43"/>
      <c r="F745" s="43"/>
      <c r="G745" s="43"/>
      <c r="H745" s="43"/>
      <c r="I745" s="43"/>
      <c r="J745" s="45"/>
      <c r="K745" s="46"/>
      <c r="L745" s="31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4.5">
      <c r="A746" s="40"/>
      <c r="B746" s="41"/>
      <c r="C746" s="42"/>
      <c r="D746" s="42"/>
      <c r="E746" s="43"/>
      <c r="F746" s="43"/>
      <c r="G746" s="43"/>
      <c r="H746" s="43"/>
      <c r="I746" s="43"/>
      <c r="J746" s="45"/>
      <c r="K746" s="46"/>
      <c r="L746" s="31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4.5">
      <c r="A747" s="40"/>
      <c r="B747" s="41"/>
      <c r="C747" s="42"/>
      <c r="D747" s="42"/>
      <c r="E747" s="43"/>
      <c r="F747" s="43"/>
      <c r="G747" s="43"/>
      <c r="H747" s="43"/>
      <c r="I747" s="43"/>
      <c r="J747" s="45"/>
      <c r="K747" s="46"/>
      <c r="L747" s="31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4.5">
      <c r="A748" s="40"/>
      <c r="B748" s="41"/>
      <c r="C748" s="42"/>
      <c r="D748" s="42"/>
      <c r="E748" s="43"/>
      <c r="F748" s="43"/>
      <c r="G748" s="43"/>
      <c r="H748" s="43"/>
      <c r="I748" s="43"/>
      <c r="J748" s="45"/>
      <c r="K748" s="46"/>
      <c r="L748" s="31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4.5">
      <c r="A749" s="40"/>
      <c r="B749" s="41"/>
      <c r="C749" s="42"/>
      <c r="D749" s="42"/>
      <c r="E749" s="43"/>
      <c r="F749" s="43"/>
      <c r="G749" s="43"/>
      <c r="H749" s="43"/>
      <c r="I749" s="43"/>
      <c r="J749" s="45"/>
      <c r="K749" s="46"/>
      <c r="L749" s="31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4.5">
      <c r="A750" s="40"/>
      <c r="B750" s="41"/>
      <c r="C750" s="42"/>
      <c r="D750" s="42"/>
      <c r="E750" s="43"/>
      <c r="F750" s="43"/>
      <c r="G750" s="43"/>
      <c r="H750" s="43"/>
      <c r="I750" s="43"/>
      <c r="J750" s="45"/>
      <c r="K750" s="46"/>
      <c r="L750" s="31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4.5">
      <c r="A751" s="40"/>
      <c r="B751" s="41"/>
      <c r="C751" s="42"/>
      <c r="D751" s="42"/>
      <c r="E751" s="43"/>
      <c r="F751" s="43"/>
      <c r="G751" s="43"/>
      <c r="H751" s="43"/>
      <c r="I751" s="43"/>
      <c r="J751" s="45"/>
      <c r="K751" s="46"/>
      <c r="L751" s="31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4.5">
      <c r="A752" s="40"/>
      <c r="B752" s="41"/>
      <c r="C752" s="42"/>
      <c r="D752" s="42"/>
      <c r="E752" s="43"/>
      <c r="F752" s="43"/>
      <c r="G752" s="43"/>
      <c r="H752" s="43"/>
      <c r="I752" s="43"/>
      <c r="J752" s="45"/>
      <c r="K752" s="46"/>
      <c r="L752" s="31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4.5">
      <c r="A753" s="40"/>
      <c r="B753" s="41"/>
      <c r="C753" s="42"/>
      <c r="D753" s="42"/>
      <c r="E753" s="43"/>
      <c r="F753" s="43"/>
      <c r="G753" s="43"/>
      <c r="H753" s="43"/>
      <c r="I753" s="43"/>
      <c r="J753" s="45"/>
      <c r="K753" s="46"/>
      <c r="L753" s="31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4.5">
      <c r="A754" s="40"/>
      <c r="B754" s="41"/>
      <c r="C754" s="42"/>
      <c r="D754" s="42"/>
      <c r="E754" s="43"/>
      <c r="F754" s="43"/>
      <c r="G754" s="43"/>
      <c r="H754" s="43"/>
      <c r="I754" s="43"/>
      <c r="J754" s="45"/>
      <c r="K754" s="46"/>
      <c r="L754" s="31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4.5">
      <c r="A755" s="40"/>
      <c r="B755" s="41"/>
      <c r="C755" s="42"/>
      <c r="D755" s="42"/>
      <c r="E755" s="43"/>
      <c r="F755" s="43"/>
      <c r="G755" s="43"/>
      <c r="H755" s="43"/>
      <c r="I755" s="43"/>
      <c r="J755" s="45"/>
      <c r="K755" s="46"/>
      <c r="L755" s="31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4.5">
      <c r="A756" s="40"/>
      <c r="B756" s="41"/>
      <c r="C756" s="42"/>
      <c r="D756" s="42"/>
      <c r="E756" s="43"/>
      <c r="F756" s="43"/>
      <c r="G756" s="43"/>
      <c r="H756" s="43"/>
      <c r="I756" s="43"/>
      <c r="J756" s="45"/>
      <c r="K756" s="46"/>
      <c r="L756" s="31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4.5">
      <c r="A757" s="40"/>
      <c r="B757" s="41"/>
      <c r="C757" s="42"/>
      <c r="D757" s="42"/>
      <c r="E757" s="43"/>
      <c r="F757" s="43"/>
      <c r="G757" s="43"/>
      <c r="H757" s="43"/>
      <c r="I757" s="43"/>
      <c r="J757" s="45"/>
      <c r="K757" s="46"/>
      <c r="L757" s="31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4.5">
      <c r="A758" s="40"/>
      <c r="B758" s="41"/>
      <c r="C758" s="42"/>
      <c r="D758" s="42"/>
      <c r="E758" s="43"/>
      <c r="F758" s="43"/>
      <c r="G758" s="43"/>
      <c r="H758" s="43"/>
      <c r="I758" s="43"/>
      <c r="J758" s="45"/>
      <c r="K758" s="46"/>
      <c r="L758" s="31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4.5">
      <c r="A759" s="40"/>
      <c r="B759" s="41"/>
      <c r="C759" s="42"/>
      <c r="D759" s="42"/>
      <c r="E759" s="43"/>
      <c r="F759" s="43"/>
      <c r="G759" s="43"/>
      <c r="H759" s="43"/>
      <c r="I759" s="43"/>
      <c r="J759" s="45"/>
      <c r="K759" s="46"/>
      <c r="L759" s="31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4.5">
      <c r="A760" s="40"/>
      <c r="B760" s="41"/>
      <c r="C760" s="42"/>
      <c r="D760" s="42"/>
      <c r="E760" s="43"/>
      <c r="F760" s="43"/>
      <c r="G760" s="43"/>
      <c r="H760" s="43"/>
      <c r="I760" s="43"/>
      <c r="J760" s="45"/>
      <c r="K760" s="46"/>
      <c r="L760" s="31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4.5">
      <c r="A761" s="40"/>
      <c r="B761" s="41"/>
      <c r="C761" s="42"/>
      <c r="D761" s="42"/>
      <c r="E761" s="43"/>
      <c r="F761" s="43"/>
      <c r="G761" s="43"/>
      <c r="H761" s="43"/>
      <c r="I761" s="43"/>
      <c r="J761" s="45"/>
      <c r="K761" s="46"/>
      <c r="L761" s="31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4.5">
      <c r="A762" s="40"/>
      <c r="B762" s="41"/>
      <c r="C762" s="42"/>
      <c r="D762" s="42"/>
      <c r="E762" s="43"/>
      <c r="F762" s="43"/>
      <c r="G762" s="43"/>
      <c r="H762" s="43"/>
      <c r="I762" s="43"/>
      <c r="J762" s="45"/>
      <c r="K762" s="46"/>
      <c r="L762" s="31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4.5">
      <c r="A763" s="40"/>
      <c r="B763" s="41"/>
      <c r="C763" s="42"/>
      <c r="D763" s="42"/>
      <c r="E763" s="43"/>
      <c r="F763" s="43"/>
      <c r="G763" s="43"/>
      <c r="H763" s="43"/>
      <c r="I763" s="43"/>
      <c r="J763" s="45"/>
      <c r="K763" s="46"/>
      <c r="L763" s="31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4.5">
      <c r="A764" s="40"/>
      <c r="B764" s="41"/>
      <c r="C764" s="42"/>
      <c r="D764" s="42"/>
      <c r="E764" s="43"/>
      <c r="F764" s="43"/>
      <c r="G764" s="43"/>
      <c r="H764" s="43"/>
      <c r="I764" s="43"/>
      <c r="J764" s="45"/>
      <c r="K764" s="46"/>
      <c r="L764" s="31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4.5">
      <c r="A765" s="40"/>
      <c r="B765" s="41"/>
      <c r="C765" s="42"/>
      <c r="D765" s="42"/>
      <c r="E765" s="43"/>
      <c r="F765" s="43"/>
      <c r="G765" s="43"/>
      <c r="H765" s="43"/>
      <c r="I765" s="43"/>
      <c r="J765" s="45"/>
      <c r="K765" s="46"/>
      <c r="L765" s="31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4.5">
      <c r="A766" s="40"/>
      <c r="B766" s="41"/>
      <c r="C766" s="42"/>
      <c r="D766" s="42"/>
      <c r="E766" s="43"/>
      <c r="F766" s="43"/>
      <c r="G766" s="43"/>
      <c r="H766" s="43"/>
      <c r="I766" s="43"/>
      <c r="J766" s="45"/>
      <c r="K766" s="46"/>
      <c r="L766" s="31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4.5">
      <c r="A767" s="40"/>
      <c r="B767" s="41"/>
      <c r="C767" s="42"/>
      <c r="D767" s="42"/>
      <c r="E767" s="43"/>
      <c r="F767" s="43"/>
      <c r="G767" s="43"/>
      <c r="H767" s="43"/>
      <c r="I767" s="43"/>
      <c r="J767" s="45"/>
      <c r="K767" s="46"/>
      <c r="L767" s="31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4.5">
      <c r="A768" s="40"/>
      <c r="B768" s="41"/>
      <c r="C768" s="42"/>
      <c r="D768" s="42"/>
      <c r="E768" s="43"/>
      <c r="F768" s="43"/>
      <c r="G768" s="43"/>
      <c r="H768" s="43"/>
      <c r="I768" s="43"/>
      <c r="J768" s="45"/>
      <c r="K768" s="46"/>
      <c r="L768" s="31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4.5">
      <c r="A769" s="40"/>
      <c r="B769" s="41"/>
      <c r="C769" s="42"/>
      <c r="D769" s="42"/>
      <c r="E769" s="43"/>
      <c r="F769" s="43"/>
      <c r="G769" s="43"/>
      <c r="H769" s="43"/>
      <c r="I769" s="43"/>
      <c r="J769" s="45"/>
      <c r="K769" s="46"/>
      <c r="L769" s="31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4.5">
      <c r="A770" s="40"/>
      <c r="B770" s="41"/>
      <c r="C770" s="42"/>
      <c r="D770" s="42"/>
      <c r="E770" s="43"/>
      <c r="F770" s="43"/>
      <c r="G770" s="43"/>
      <c r="H770" s="43"/>
      <c r="I770" s="43"/>
      <c r="J770" s="45"/>
      <c r="K770" s="46"/>
      <c r="L770" s="31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4.5">
      <c r="A771" s="40"/>
      <c r="B771" s="41"/>
      <c r="C771" s="42"/>
      <c r="D771" s="42"/>
      <c r="E771" s="43"/>
      <c r="F771" s="43"/>
      <c r="G771" s="43"/>
      <c r="H771" s="43"/>
      <c r="I771" s="43"/>
      <c r="J771" s="45"/>
      <c r="K771" s="46"/>
      <c r="L771" s="31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4.5">
      <c r="A772" s="40"/>
      <c r="B772" s="41"/>
      <c r="C772" s="42"/>
      <c r="D772" s="42"/>
      <c r="E772" s="43"/>
      <c r="F772" s="43"/>
      <c r="G772" s="43"/>
      <c r="H772" s="43"/>
      <c r="I772" s="43"/>
      <c r="J772" s="45"/>
      <c r="K772" s="46"/>
      <c r="L772" s="31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4.5">
      <c r="A773" s="40"/>
      <c r="B773" s="41"/>
      <c r="C773" s="42"/>
      <c r="D773" s="42"/>
      <c r="E773" s="43"/>
      <c r="F773" s="43"/>
      <c r="G773" s="43"/>
      <c r="H773" s="43"/>
      <c r="I773" s="43"/>
      <c r="J773" s="45"/>
      <c r="K773" s="46"/>
      <c r="L773" s="31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4.5">
      <c r="A774" s="40"/>
      <c r="B774" s="41"/>
      <c r="C774" s="42"/>
      <c r="D774" s="42"/>
      <c r="E774" s="43"/>
      <c r="F774" s="43"/>
      <c r="G774" s="43"/>
      <c r="H774" s="43"/>
      <c r="I774" s="43"/>
      <c r="J774" s="45"/>
      <c r="K774" s="46"/>
      <c r="L774" s="31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4.5">
      <c r="A775" s="40"/>
      <c r="B775" s="41"/>
      <c r="C775" s="42"/>
      <c r="D775" s="42"/>
      <c r="E775" s="43"/>
      <c r="F775" s="43"/>
      <c r="G775" s="43"/>
      <c r="H775" s="43"/>
      <c r="I775" s="43"/>
      <c r="J775" s="45"/>
      <c r="K775" s="46"/>
      <c r="L775" s="31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4.5">
      <c r="A776" s="40"/>
      <c r="B776" s="41"/>
      <c r="C776" s="42"/>
      <c r="D776" s="42"/>
      <c r="E776" s="43"/>
      <c r="F776" s="43"/>
      <c r="G776" s="43"/>
      <c r="H776" s="43"/>
      <c r="I776" s="43"/>
      <c r="J776" s="45"/>
      <c r="K776" s="46"/>
      <c r="L776" s="31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4.5">
      <c r="A777" s="40"/>
      <c r="B777" s="41"/>
      <c r="C777" s="42"/>
      <c r="D777" s="42"/>
      <c r="E777" s="43"/>
      <c r="F777" s="43"/>
      <c r="G777" s="43"/>
      <c r="H777" s="43"/>
      <c r="I777" s="43"/>
      <c r="J777" s="45"/>
      <c r="K777" s="46"/>
      <c r="L777" s="31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4.5">
      <c r="A778" s="40"/>
      <c r="B778" s="41"/>
      <c r="C778" s="42"/>
      <c r="D778" s="42"/>
      <c r="E778" s="43"/>
      <c r="F778" s="43"/>
      <c r="G778" s="43"/>
      <c r="H778" s="43"/>
      <c r="I778" s="43"/>
      <c r="J778" s="45"/>
      <c r="K778" s="46"/>
      <c r="L778" s="31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4.5">
      <c r="A779" s="40"/>
      <c r="B779" s="41"/>
      <c r="C779" s="42"/>
      <c r="D779" s="42"/>
      <c r="E779" s="43"/>
      <c r="F779" s="43"/>
      <c r="G779" s="43"/>
      <c r="H779" s="43"/>
      <c r="I779" s="43"/>
      <c r="J779" s="45"/>
      <c r="K779" s="46"/>
      <c r="L779" s="31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4.5">
      <c r="A780" s="40"/>
      <c r="B780" s="41"/>
      <c r="C780" s="42"/>
      <c r="D780" s="42"/>
      <c r="E780" s="43"/>
      <c r="F780" s="43"/>
      <c r="G780" s="43"/>
      <c r="H780" s="43"/>
      <c r="I780" s="43"/>
      <c r="J780" s="45"/>
      <c r="K780" s="46"/>
      <c r="L780" s="31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4.5">
      <c r="A781" s="40"/>
      <c r="B781" s="41"/>
      <c r="C781" s="42"/>
      <c r="D781" s="42"/>
      <c r="E781" s="43"/>
      <c r="F781" s="43"/>
      <c r="G781" s="43"/>
      <c r="H781" s="43"/>
      <c r="I781" s="43"/>
      <c r="J781" s="45"/>
      <c r="K781" s="46"/>
      <c r="L781" s="31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4.5">
      <c r="A782" s="40"/>
      <c r="B782" s="41"/>
      <c r="C782" s="42"/>
      <c r="D782" s="42"/>
      <c r="E782" s="43"/>
      <c r="F782" s="43"/>
      <c r="G782" s="43"/>
      <c r="H782" s="43"/>
      <c r="I782" s="43"/>
      <c r="J782" s="45"/>
      <c r="K782" s="46"/>
      <c r="L782" s="31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4.5">
      <c r="A783" s="40"/>
      <c r="B783" s="41"/>
      <c r="C783" s="42"/>
      <c r="D783" s="42"/>
      <c r="E783" s="43"/>
      <c r="F783" s="43"/>
      <c r="G783" s="43"/>
      <c r="H783" s="43"/>
      <c r="I783" s="43"/>
      <c r="J783" s="45"/>
      <c r="K783" s="46"/>
      <c r="L783" s="31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4.5">
      <c r="A784" s="40"/>
      <c r="B784" s="41"/>
      <c r="C784" s="42"/>
      <c r="D784" s="42"/>
      <c r="E784" s="43"/>
      <c r="F784" s="43"/>
      <c r="G784" s="43"/>
      <c r="H784" s="43"/>
      <c r="I784" s="43"/>
      <c r="J784" s="45"/>
      <c r="K784" s="46"/>
      <c r="L784" s="31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4.5">
      <c r="A785" s="40"/>
      <c r="B785" s="41"/>
      <c r="C785" s="42"/>
      <c r="D785" s="42"/>
      <c r="E785" s="43"/>
      <c r="F785" s="43"/>
      <c r="G785" s="43"/>
      <c r="H785" s="43"/>
      <c r="I785" s="43"/>
      <c r="J785" s="45"/>
      <c r="K785" s="46"/>
      <c r="L785" s="31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4.5">
      <c r="A786" s="40"/>
      <c r="B786" s="41"/>
      <c r="C786" s="42"/>
      <c r="D786" s="42"/>
      <c r="E786" s="43"/>
      <c r="F786" s="43"/>
      <c r="G786" s="43"/>
      <c r="H786" s="43"/>
      <c r="I786" s="43"/>
      <c r="J786" s="45"/>
      <c r="K786" s="46"/>
      <c r="L786" s="31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4.5">
      <c r="A787" s="40"/>
      <c r="B787" s="41"/>
      <c r="C787" s="42"/>
      <c r="D787" s="42"/>
      <c r="E787" s="43"/>
      <c r="F787" s="43"/>
      <c r="G787" s="43"/>
      <c r="H787" s="43"/>
      <c r="I787" s="43"/>
      <c r="J787" s="45"/>
      <c r="K787" s="46"/>
      <c r="L787" s="31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4.5">
      <c r="A788" s="40"/>
      <c r="B788" s="41"/>
      <c r="C788" s="42"/>
      <c r="D788" s="42"/>
      <c r="E788" s="43"/>
      <c r="F788" s="43"/>
      <c r="G788" s="43"/>
      <c r="H788" s="43"/>
      <c r="I788" s="43"/>
      <c r="J788" s="45"/>
      <c r="K788" s="46"/>
      <c r="L788" s="31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4.5">
      <c r="A789" s="40"/>
      <c r="B789" s="41"/>
      <c r="C789" s="42"/>
      <c r="D789" s="42"/>
      <c r="E789" s="43"/>
      <c r="F789" s="43"/>
      <c r="G789" s="43"/>
      <c r="H789" s="43"/>
      <c r="I789" s="43"/>
      <c r="J789" s="45"/>
      <c r="K789" s="46"/>
      <c r="L789" s="31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4.5">
      <c r="A790" s="40"/>
      <c r="B790" s="41"/>
      <c r="C790" s="42"/>
      <c r="D790" s="42"/>
      <c r="E790" s="43"/>
      <c r="F790" s="43"/>
      <c r="G790" s="43"/>
      <c r="H790" s="43"/>
      <c r="I790" s="43"/>
      <c r="J790" s="45"/>
      <c r="K790" s="46"/>
      <c r="L790" s="31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4.5">
      <c r="A791" s="40"/>
      <c r="B791" s="41"/>
      <c r="C791" s="42"/>
      <c r="D791" s="42"/>
      <c r="E791" s="43"/>
      <c r="F791" s="43"/>
      <c r="G791" s="43"/>
      <c r="H791" s="43"/>
      <c r="I791" s="43"/>
      <c r="J791" s="45"/>
      <c r="K791" s="46"/>
      <c r="L791" s="31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4.5">
      <c r="A792" s="40"/>
      <c r="B792" s="41"/>
      <c r="C792" s="42"/>
      <c r="D792" s="42"/>
      <c r="E792" s="43"/>
      <c r="F792" s="43"/>
      <c r="G792" s="43"/>
      <c r="H792" s="43"/>
      <c r="I792" s="43"/>
      <c r="J792" s="45"/>
      <c r="K792" s="46"/>
      <c r="L792" s="31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4.5">
      <c r="A793" s="40"/>
      <c r="B793" s="41"/>
      <c r="C793" s="42"/>
      <c r="D793" s="42"/>
      <c r="E793" s="43"/>
      <c r="F793" s="43"/>
      <c r="G793" s="43"/>
      <c r="H793" s="43"/>
      <c r="I793" s="43"/>
      <c r="J793" s="45"/>
      <c r="K793" s="46"/>
      <c r="L793" s="31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4.5">
      <c r="A794" s="40"/>
      <c r="B794" s="41"/>
      <c r="C794" s="42"/>
      <c r="D794" s="42"/>
      <c r="E794" s="43"/>
      <c r="F794" s="43"/>
      <c r="G794" s="43"/>
      <c r="H794" s="43"/>
      <c r="I794" s="43"/>
      <c r="J794" s="45"/>
      <c r="K794" s="46"/>
      <c r="L794" s="31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4.5">
      <c r="A795" s="40"/>
      <c r="B795" s="41"/>
      <c r="C795" s="42"/>
      <c r="D795" s="42"/>
      <c r="E795" s="43"/>
      <c r="F795" s="43"/>
      <c r="G795" s="43"/>
      <c r="H795" s="43"/>
      <c r="I795" s="43"/>
      <c r="J795" s="45"/>
      <c r="K795" s="46"/>
      <c r="L795" s="31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4.5">
      <c r="A796" s="40"/>
      <c r="B796" s="41"/>
      <c r="C796" s="42"/>
      <c r="D796" s="42"/>
      <c r="E796" s="43"/>
      <c r="F796" s="43"/>
      <c r="G796" s="43"/>
      <c r="H796" s="43"/>
      <c r="I796" s="43"/>
      <c r="J796" s="45"/>
      <c r="K796" s="46"/>
      <c r="L796" s="31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4.5">
      <c r="A797" s="40"/>
      <c r="B797" s="41"/>
      <c r="C797" s="42"/>
      <c r="D797" s="42"/>
      <c r="E797" s="43"/>
      <c r="F797" s="43"/>
      <c r="G797" s="43"/>
      <c r="H797" s="43"/>
      <c r="I797" s="43"/>
      <c r="J797" s="45"/>
      <c r="K797" s="46"/>
      <c r="L797" s="31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4.5">
      <c r="A798" s="40"/>
      <c r="B798" s="41"/>
      <c r="C798" s="42"/>
      <c r="D798" s="42"/>
      <c r="E798" s="43"/>
      <c r="F798" s="43"/>
      <c r="G798" s="43"/>
      <c r="H798" s="43"/>
      <c r="I798" s="43"/>
      <c r="J798" s="45"/>
      <c r="K798" s="46"/>
      <c r="L798" s="31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4.5">
      <c r="A799" s="40"/>
      <c r="B799" s="41"/>
      <c r="C799" s="42"/>
      <c r="D799" s="42"/>
      <c r="E799" s="43"/>
      <c r="F799" s="43"/>
      <c r="G799" s="43"/>
      <c r="H799" s="43"/>
      <c r="I799" s="43"/>
      <c r="J799" s="45"/>
      <c r="K799" s="46"/>
      <c r="L799" s="31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4.5">
      <c r="A800" s="40"/>
      <c r="B800" s="41"/>
      <c r="C800" s="42"/>
      <c r="D800" s="42"/>
      <c r="E800" s="43"/>
      <c r="F800" s="43"/>
      <c r="G800" s="43"/>
      <c r="H800" s="43"/>
      <c r="I800" s="43"/>
      <c r="J800" s="45"/>
      <c r="K800" s="46"/>
      <c r="L800" s="31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4.5">
      <c r="A801" s="40"/>
      <c r="B801" s="41"/>
      <c r="C801" s="42"/>
      <c r="D801" s="42"/>
      <c r="E801" s="43"/>
      <c r="F801" s="43"/>
      <c r="G801" s="43"/>
      <c r="H801" s="43"/>
      <c r="I801" s="43"/>
      <c r="J801" s="45"/>
      <c r="K801" s="46"/>
      <c r="L801" s="31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4.5">
      <c r="A802" s="40"/>
      <c r="B802" s="41"/>
      <c r="C802" s="42"/>
      <c r="D802" s="42"/>
      <c r="E802" s="43"/>
      <c r="F802" s="43"/>
      <c r="G802" s="43"/>
      <c r="H802" s="43"/>
      <c r="I802" s="43"/>
      <c r="J802" s="45"/>
      <c r="K802" s="46"/>
      <c r="L802" s="31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4.5">
      <c r="A803" s="40"/>
      <c r="B803" s="41"/>
      <c r="C803" s="42"/>
      <c r="D803" s="42"/>
      <c r="E803" s="43"/>
      <c r="F803" s="43"/>
      <c r="G803" s="43"/>
      <c r="H803" s="43"/>
      <c r="I803" s="43"/>
      <c r="J803" s="45"/>
      <c r="K803" s="46"/>
      <c r="L803" s="31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4.5">
      <c r="A804" s="40"/>
      <c r="B804" s="41"/>
      <c r="C804" s="42"/>
      <c r="D804" s="42"/>
      <c r="E804" s="43"/>
      <c r="F804" s="43"/>
      <c r="G804" s="43"/>
      <c r="H804" s="43"/>
      <c r="I804" s="43"/>
      <c r="J804" s="45"/>
      <c r="K804" s="46"/>
      <c r="L804" s="31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4.5">
      <c r="A805" s="40"/>
      <c r="B805" s="41"/>
      <c r="C805" s="42"/>
      <c r="D805" s="42"/>
      <c r="E805" s="43"/>
      <c r="F805" s="43"/>
      <c r="G805" s="43"/>
      <c r="H805" s="43"/>
      <c r="I805" s="43"/>
      <c r="J805" s="45"/>
      <c r="K805" s="46"/>
      <c r="L805" s="31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4.5">
      <c r="A806" s="40"/>
      <c r="B806" s="41"/>
      <c r="C806" s="42"/>
      <c r="D806" s="42"/>
      <c r="E806" s="43"/>
      <c r="F806" s="43"/>
      <c r="G806" s="43"/>
      <c r="H806" s="43"/>
      <c r="I806" s="43"/>
      <c r="J806" s="45"/>
      <c r="K806" s="46"/>
      <c r="L806" s="31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4.5">
      <c r="A807" s="40"/>
      <c r="B807" s="41"/>
      <c r="C807" s="42"/>
      <c r="D807" s="42"/>
      <c r="E807" s="43"/>
      <c r="F807" s="43"/>
      <c r="G807" s="43"/>
      <c r="H807" s="43"/>
      <c r="I807" s="43"/>
      <c r="J807" s="45"/>
      <c r="K807" s="46"/>
      <c r="L807" s="31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4.5">
      <c r="A808" s="40"/>
      <c r="B808" s="41"/>
      <c r="C808" s="42"/>
      <c r="D808" s="42"/>
      <c r="E808" s="43"/>
      <c r="F808" s="43"/>
      <c r="G808" s="43"/>
      <c r="H808" s="43"/>
      <c r="I808" s="43"/>
      <c r="J808" s="45"/>
      <c r="K808" s="46"/>
      <c r="L808" s="31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4.5">
      <c r="A809" s="40"/>
      <c r="B809" s="41"/>
      <c r="C809" s="42"/>
      <c r="D809" s="42"/>
      <c r="E809" s="43"/>
      <c r="F809" s="43"/>
      <c r="G809" s="43"/>
      <c r="H809" s="43"/>
      <c r="I809" s="43"/>
      <c r="J809" s="45"/>
      <c r="K809" s="46"/>
      <c r="L809" s="31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4.5">
      <c r="A810" s="40"/>
      <c r="B810" s="41"/>
      <c r="C810" s="42"/>
      <c r="D810" s="42"/>
      <c r="E810" s="43"/>
      <c r="F810" s="43"/>
      <c r="G810" s="43"/>
      <c r="H810" s="43"/>
      <c r="I810" s="43"/>
      <c r="J810" s="45"/>
      <c r="K810" s="46"/>
      <c r="L810" s="31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4.5">
      <c r="A811" s="40"/>
      <c r="B811" s="41"/>
      <c r="C811" s="42"/>
      <c r="D811" s="42"/>
      <c r="E811" s="43"/>
      <c r="F811" s="43"/>
      <c r="G811" s="43"/>
      <c r="H811" s="43"/>
      <c r="I811" s="43"/>
      <c r="J811" s="45"/>
      <c r="K811" s="46"/>
      <c r="L811" s="31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4.5">
      <c r="A812" s="40"/>
      <c r="B812" s="41"/>
      <c r="C812" s="42"/>
      <c r="D812" s="42"/>
      <c r="E812" s="43"/>
      <c r="F812" s="43"/>
      <c r="G812" s="43"/>
      <c r="H812" s="43"/>
      <c r="I812" s="43"/>
      <c r="J812" s="45"/>
      <c r="K812" s="46"/>
      <c r="L812" s="31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4.5">
      <c r="A813" s="40"/>
      <c r="B813" s="41"/>
      <c r="C813" s="42"/>
      <c r="D813" s="42"/>
      <c r="E813" s="43"/>
      <c r="F813" s="43"/>
      <c r="G813" s="43"/>
      <c r="H813" s="43"/>
      <c r="I813" s="43"/>
      <c r="J813" s="45"/>
      <c r="K813" s="46"/>
      <c r="L813" s="31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4.5">
      <c r="A814" s="40"/>
      <c r="B814" s="41"/>
      <c r="C814" s="42"/>
      <c r="D814" s="42"/>
      <c r="E814" s="43"/>
      <c r="F814" s="43"/>
      <c r="G814" s="43"/>
      <c r="H814" s="43"/>
      <c r="I814" s="43"/>
      <c r="J814" s="45"/>
      <c r="K814" s="46"/>
      <c r="L814" s="31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4.5">
      <c r="A815" s="40"/>
      <c r="B815" s="41"/>
      <c r="C815" s="42"/>
      <c r="D815" s="42"/>
      <c r="E815" s="43"/>
      <c r="F815" s="43"/>
      <c r="G815" s="43"/>
      <c r="H815" s="43"/>
      <c r="I815" s="43"/>
      <c r="J815" s="45"/>
      <c r="K815" s="46"/>
      <c r="L815" s="31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4.5">
      <c r="A816" s="40"/>
      <c r="B816" s="41"/>
      <c r="C816" s="42"/>
      <c r="D816" s="42"/>
      <c r="E816" s="43"/>
      <c r="F816" s="43"/>
      <c r="G816" s="43"/>
      <c r="H816" s="43"/>
      <c r="I816" s="43"/>
      <c r="J816" s="45"/>
      <c r="K816" s="46"/>
      <c r="L816" s="31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4.5">
      <c r="A817" s="40"/>
      <c r="B817" s="41"/>
      <c r="C817" s="42"/>
      <c r="D817" s="42"/>
      <c r="E817" s="43"/>
      <c r="F817" s="43"/>
      <c r="G817" s="43"/>
      <c r="H817" s="43"/>
      <c r="I817" s="43"/>
      <c r="J817" s="45"/>
      <c r="K817" s="46"/>
      <c r="L817" s="31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4.5">
      <c r="A818" s="40"/>
      <c r="B818" s="41"/>
      <c r="C818" s="42"/>
      <c r="D818" s="42"/>
      <c r="E818" s="43"/>
      <c r="F818" s="43"/>
      <c r="G818" s="43"/>
      <c r="H818" s="43"/>
      <c r="I818" s="43"/>
      <c r="J818" s="45"/>
      <c r="K818" s="46"/>
      <c r="L818" s="31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4.5">
      <c r="A819" s="40"/>
      <c r="B819" s="41"/>
      <c r="C819" s="42"/>
      <c r="D819" s="42"/>
      <c r="E819" s="43"/>
      <c r="F819" s="43"/>
      <c r="G819" s="43"/>
      <c r="H819" s="43"/>
      <c r="I819" s="43"/>
      <c r="J819" s="45"/>
      <c r="K819" s="46"/>
      <c r="L819" s="31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4.5">
      <c r="A820" s="40"/>
      <c r="B820" s="41"/>
      <c r="C820" s="42"/>
      <c r="D820" s="42"/>
      <c r="E820" s="43"/>
      <c r="F820" s="43"/>
      <c r="G820" s="43"/>
      <c r="H820" s="43"/>
      <c r="I820" s="43"/>
      <c r="J820" s="45"/>
      <c r="K820" s="46"/>
      <c r="L820" s="31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4.5">
      <c r="A821" s="40"/>
      <c r="B821" s="41"/>
      <c r="C821" s="42"/>
      <c r="D821" s="42"/>
      <c r="E821" s="43"/>
      <c r="F821" s="43"/>
      <c r="G821" s="43"/>
      <c r="H821" s="43"/>
      <c r="I821" s="43"/>
      <c r="J821" s="45"/>
      <c r="K821" s="46"/>
      <c r="L821" s="31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4.5">
      <c r="A822" s="40"/>
      <c r="B822" s="41"/>
      <c r="C822" s="42"/>
      <c r="D822" s="42"/>
      <c r="E822" s="43"/>
      <c r="F822" s="43"/>
      <c r="G822" s="43"/>
      <c r="H822" s="43"/>
      <c r="I822" s="43"/>
      <c r="J822" s="45"/>
      <c r="K822" s="46"/>
      <c r="L822" s="31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4.5">
      <c r="A823" s="40"/>
      <c r="B823" s="41"/>
      <c r="C823" s="42"/>
      <c r="D823" s="42"/>
      <c r="E823" s="43"/>
      <c r="F823" s="43"/>
      <c r="G823" s="43"/>
      <c r="H823" s="43"/>
      <c r="I823" s="43"/>
      <c r="J823" s="45"/>
      <c r="K823" s="46"/>
      <c r="L823" s="31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4.5">
      <c r="A824" s="40"/>
      <c r="B824" s="41"/>
      <c r="C824" s="42"/>
      <c r="D824" s="42"/>
      <c r="E824" s="43"/>
      <c r="F824" s="43"/>
      <c r="G824" s="43"/>
      <c r="H824" s="43"/>
      <c r="I824" s="43"/>
      <c r="J824" s="45"/>
      <c r="K824" s="46"/>
      <c r="L824" s="31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4.5">
      <c r="A825" s="40"/>
      <c r="B825" s="41"/>
      <c r="C825" s="42"/>
      <c r="D825" s="42"/>
      <c r="E825" s="43"/>
      <c r="F825" s="43"/>
      <c r="G825" s="43"/>
      <c r="H825" s="43"/>
      <c r="I825" s="43"/>
      <c r="J825" s="45"/>
      <c r="K825" s="46"/>
      <c r="L825" s="31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4.5">
      <c r="A826" s="40"/>
      <c r="B826" s="41"/>
      <c r="C826" s="42"/>
      <c r="D826" s="42"/>
      <c r="E826" s="43"/>
      <c r="F826" s="43"/>
      <c r="G826" s="43"/>
      <c r="H826" s="43"/>
      <c r="I826" s="43"/>
      <c r="J826" s="45"/>
      <c r="K826" s="46"/>
      <c r="L826" s="31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4.5">
      <c r="A827" s="40"/>
      <c r="B827" s="41"/>
      <c r="C827" s="42"/>
      <c r="D827" s="42"/>
      <c r="E827" s="43"/>
      <c r="F827" s="43"/>
      <c r="G827" s="43"/>
      <c r="H827" s="43"/>
      <c r="I827" s="43"/>
      <c r="J827" s="45"/>
      <c r="K827" s="46"/>
      <c r="L827" s="31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4.5">
      <c r="A828" s="40"/>
      <c r="B828" s="41"/>
      <c r="C828" s="42"/>
      <c r="D828" s="42"/>
      <c r="E828" s="43"/>
      <c r="F828" s="43"/>
      <c r="G828" s="43"/>
      <c r="H828" s="43"/>
      <c r="I828" s="43"/>
      <c r="J828" s="45"/>
      <c r="K828" s="46"/>
      <c r="L828" s="31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4.5">
      <c r="A829" s="40"/>
      <c r="B829" s="41"/>
      <c r="C829" s="42"/>
      <c r="D829" s="42"/>
      <c r="E829" s="43"/>
      <c r="F829" s="43"/>
      <c r="G829" s="43"/>
      <c r="H829" s="43"/>
      <c r="I829" s="43"/>
      <c r="J829" s="45"/>
      <c r="K829" s="46"/>
      <c r="L829" s="31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4.5">
      <c r="A830" s="40"/>
      <c r="B830" s="41"/>
      <c r="C830" s="42"/>
      <c r="D830" s="42"/>
      <c r="E830" s="43"/>
      <c r="F830" s="43"/>
      <c r="G830" s="43"/>
      <c r="H830" s="43"/>
      <c r="I830" s="43"/>
      <c r="J830" s="45"/>
      <c r="K830" s="46"/>
      <c r="L830" s="31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4.5">
      <c r="A831" s="40"/>
      <c r="B831" s="41"/>
      <c r="C831" s="42"/>
      <c r="D831" s="42"/>
      <c r="E831" s="43"/>
      <c r="F831" s="43"/>
      <c r="G831" s="43"/>
      <c r="H831" s="43"/>
      <c r="I831" s="43"/>
      <c r="J831" s="45"/>
      <c r="K831" s="46"/>
      <c r="L831" s="31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4.5">
      <c r="A832" s="40"/>
      <c r="B832" s="41"/>
      <c r="C832" s="42"/>
      <c r="D832" s="42"/>
      <c r="E832" s="43"/>
      <c r="F832" s="43"/>
      <c r="G832" s="43"/>
      <c r="H832" s="43"/>
      <c r="I832" s="43"/>
      <c r="J832" s="45"/>
      <c r="K832" s="46"/>
      <c r="L832" s="31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4.5">
      <c r="A833" s="40"/>
      <c r="B833" s="41"/>
      <c r="C833" s="42"/>
      <c r="D833" s="42"/>
      <c r="E833" s="43"/>
      <c r="F833" s="43"/>
      <c r="G833" s="43"/>
      <c r="H833" s="43"/>
      <c r="I833" s="43"/>
      <c r="J833" s="45"/>
      <c r="K833" s="46"/>
      <c r="L833" s="31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4.5">
      <c r="A834" s="40"/>
      <c r="B834" s="41"/>
      <c r="C834" s="42"/>
      <c r="D834" s="42"/>
      <c r="E834" s="43"/>
      <c r="F834" s="43"/>
      <c r="G834" s="43"/>
      <c r="H834" s="43"/>
      <c r="I834" s="43"/>
      <c r="J834" s="45"/>
      <c r="K834" s="46"/>
      <c r="L834" s="31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4.5">
      <c r="A835" s="40"/>
      <c r="B835" s="41"/>
      <c r="C835" s="42"/>
      <c r="D835" s="42"/>
      <c r="E835" s="43"/>
      <c r="F835" s="43"/>
      <c r="G835" s="43"/>
      <c r="H835" s="43"/>
      <c r="I835" s="43"/>
      <c r="J835" s="45"/>
      <c r="K835" s="46"/>
      <c r="L835" s="31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4.5">
      <c r="A836" s="40"/>
      <c r="B836" s="41"/>
      <c r="C836" s="42"/>
      <c r="D836" s="42"/>
      <c r="E836" s="43"/>
      <c r="F836" s="43"/>
      <c r="G836" s="43"/>
      <c r="H836" s="43"/>
      <c r="I836" s="43"/>
      <c r="J836" s="45"/>
      <c r="K836" s="46"/>
      <c r="L836" s="31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4.5">
      <c r="A837" s="40"/>
      <c r="B837" s="41"/>
      <c r="C837" s="42"/>
      <c r="D837" s="42"/>
      <c r="E837" s="43"/>
      <c r="F837" s="43"/>
      <c r="G837" s="43"/>
      <c r="H837" s="43"/>
      <c r="I837" s="43"/>
      <c r="J837" s="45"/>
      <c r="K837" s="46"/>
      <c r="L837" s="31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4.5">
      <c r="A838" s="40"/>
      <c r="B838" s="41"/>
      <c r="C838" s="42"/>
      <c r="D838" s="42"/>
      <c r="E838" s="43"/>
      <c r="F838" s="43"/>
      <c r="G838" s="43"/>
      <c r="H838" s="43"/>
      <c r="I838" s="43"/>
      <c r="J838" s="45"/>
      <c r="K838" s="46"/>
      <c r="L838" s="31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4.5">
      <c r="A839" s="40"/>
      <c r="B839" s="41"/>
      <c r="C839" s="42"/>
      <c r="D839" s="42"/>
      <c r="E839" s="43"/>
      <c r="F839" s="43"/>
      <c r="G839" s="43"/>
      <c r="H839" s="43"/>
      <c r="I839" s="43"/>
      <c r="J839" s="45"/>
      <c r="K839" s="46"/>
      <c r="L839" s="31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4.5">
      <c r="A840" s="40"/>
      <c r="B840" s="41"/>
      <c r="C840" s="42"/>
      <c r="D840" s="42"/>
      <c r="E840" s="43"/>
      <c r="F840" s="43"/>
      <c r="G840" s="43"/>
      <c r="H840" s="43"/>
      <c r="I840" s="43"/>
      <c r="J840" s="45"/>
      <c r="K840" s="46"/>
      <c r="L840" s="31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4.5">
      <c r="A841" s="40"/>
      <c r="B841" s="41"/>
      <c r="C841" s="42"/>
      <c r="D841" s="42"/>
      <c r="E841" s="43"/>
      <c r="F841" s="43"/>
      <c r="G841" s="43"/>
      <c r="H841" s="43"/>
      <c r="I841" s="43"/>
      <c r="J841" s="45"/>
      <c r="K841" s="46"/>
      <c r="L841" s="31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4.5">
      <c r="A842" s="40"/>
      <c r="B842" s="41"/>
      <c r="C842" s="42"/>
      <c r="D842" s="42"/>
      <c r="E842" s="43"/>
      <c r="F842" s="43"/>
      <c r="G842" s="43"/>
      <c r="H842" s="43"/>
      <c r="I842" s="43"/>
      <c r="J842" s="45"/>
      <c r="K842" s="46"/>
      <c r="L842" s="31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4.5">
      <c r="A843" s="40"/>
      <c r="B843" s="41"/>
      <c r="C843" s="42"/>
      <c r="D843" s="42"/>
      <c r="E843" s="43"/>
      <c r="F843" s="43"/>
      <c r="G843" s="43"/>
      <c r="H843" s="43"/>
      <c r="I843" s="43"/>
      <c r="J843" s="45"/>
      <c r="K843" s="46"/>
      <c r="L843" s="31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4.5">
      <c r="A844" s="40"/>
      <c r="B844" s="41"/>
      <c r="C844" s="42"/>
      <c r="D844" s="42"/>
      <c r="E844" s="43"/>
      <c r="F844" s="43"/>
      <c r="G844" s="43"/>
      <c r="H844" s="43"/>
      <c r="I844" s="43"/>
      <c r="J844" s="45"/>
      <c r="K844" s="46"/>
      <c r="L844" s="31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4.5">
      <c r="A845" s="40"/>
      <c r="B845" s="41"/>
      <c r="C845" s="42"/>
      <c r="D845" s="42"/>
      <c r="E845" s="43"/>
      <c r="F845" s="43"/>
      <c r="G845" s="43"/>
      <c r="H845" s="43"/>
      <c r="I845" s="43"/>
      <c r="J845" s="45"/>
      <c r="K845" s="46"/>
      <c r="L845" s="31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4.5">
      <c r="A846" s="40"/>
      <c r="B846" s="41"/>
      <c r="C846" s="42"/>
      <c r="D846" s="42"/>
      <c r="E846" s="43"/>
      <c r="F846" s="43"/>
      <c r="G846" s="43"/>
      <c r="H846" s="43"/>
      <c r="I846" s="43"/>
      <c r="J846" s="45"/>
      <c r="K846" s="46"/>
      <c r="L846" s="31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4.5">
      <c r="A847" s="40"/>
      <c r="B847" s="41"/>
      <c r="C847" s="42"/>
      <c r="D847" s="42"/>
      <c r="E847" s="43"/>
      <c r="F847" s="43"/>
      <c r="G847" s="43"/>
      <c r="H847" s="43"/>
      <c r="I847" s="43"/>
      <c r="J847" s="45"/>
      <c r="K847" s="46"/>
      <c r="L847" s="31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4.5">
      <c r="A848" s="40"/>
      <c r="B848" s="41"/>
      <c r="C848" s="42"/>
      <c r="D848" s="42"/>
      <c r="E848" s="43"/>
      <c r="F848" s="43"/>
      <c r="G848" s="43"/>
      <c r="H848" s="43"/>
      <c r="I848" s="43"/>
      <c r="J848" s="45"/>
      <c r="K848" s="46"/>
      <c r="L848" s="31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4.5">
      <c r="A849" s="40"/>
      <c r="B849" s="41"/>
      <c r="C849" s="42"/>
      <c r="D849" s="42"/>
      <c r="E849" s="43"/>
      <c r="F849" s="43"/>
      <c r="G849" s="43"/>
      <c r="H849" s="43"/>
      <c r="I849" s="43"/>
      <c r="J849" s="45"/>
      <c r="K849" s="46"/>
      <c r="L849" s="31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4.5">
      <c r="A850" s="40"/>
      <c r="B850" s="41"/>
      <c r="C850" s="42"/>
      <c r="D850" s="42"/>
      <c r="E850" s="43"/>
      <c r="F850" s="43"/>
      <c r="G850" s="43"/>
      <c r="H850" s="43"/>
      <c r="I850" s="43"/>
      <c r="J850" s="45"/>
      <c r="K850" s="46"/>
      <c r="L850" s="31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4.5">
      <c r="A851" s="40"/>
      <c r="B851" s="41"/>
      <c r="C851" s="42"/>
      <c r="D851" s="42"/>
      <c r="E851" s="43"/>
      <c r="F851" s="43"/>
      <c r="G851" s="43"/>
      <c r="H851" s="43"/>
      <c r="I851" s="43"/>
      <c r="J851" s="45"/>
      <c r="K851" s="46"/>
      <c r="L851" s="31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4.5">
      <c r="A852" s="40"/>
      <c r="B852" s="41"/>
      <c r="C852" s="42"/>
      <c r="D852" s="42"/>
      <c r="E852" s="43"/>
      <c r="F852" s="43"/>
      <c r="G852" s="43"/>
      <c r="H852" s="43"/>
      <c r="I852" s="43"/>
      <c r="J852" s="45"/>
      <c r="K852" s="46"/>
      <c r="L852" s="31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4.5">
      <c r="A853" s="40"/>
      <c r="B853" s="41"/>
      <c r="C853" s="42"/>
      <c r="D853" s="42"/>
      <c r="E853" s="43"/>
      <c r="F853" s="43"/>
      <c r="G853" s="43"/>
      <c r="H853" s="43"/>
      <c r="I853" s="43"/>
      <c r="J853" s="45"/>
      <c r="K853" s="46"/>
      <c r="L853" s="31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4.5">
      <c r="A854" s="40"/>
      <c r="B854" s="41"/>
      <c r="C854" s="42"/>
      <c r="D854" s="42"/>
      <c r="E854" s="43"/>
      <c r="F854" s="43"/>
      <c r="G854" s="43"/>
      <c r="H854" s="43"/>
      <c r="I854" s="43"/>
      <c r="J854" s="45"/>
      <c r="K854" s="46"/>
      <c r="L854" s="31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4.5">
      <c r="A855" s="40"/>
      <c r="B855" s="41"/>
      <c r="C855" s="42"/>
      <c r="D855" s="42"/>
      <c r="E855" s="43"/>
      <c r="F855" s="43"/>
      <c r="G855" s="43"/>
      <c r="H855" s="43"/>
      <c r="I855" s="43"/>
      <c r="J855" s="45"/>
      <c r="K855" s="46"/>
      <c r="L855" s="31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4.5">
      <c r="A856" s="40"/>
      <c r="B856" s="41"/>
      <c r="C856" s="42"/>
      <c r="D856" s="42"/>
      <c r="E856" s="43"/>
      <c r="F856" s="43"/>
      <c r="G856" s="43"/>
      <c r="H856" s="43"/>
      <c r="I856" s="43"/>
      <c r="J856" s="45"/>
      <c r="K856" s="46"/>
      <c r="L856" s="31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4.5">
      <c r="A857" s="40"/>
      <c r="B857" s="41"/>
      <c r="C857" s="42"/>
      <c r="D857" s="42"/>
      <c r="E857" s="43"/>
      <c r="F857" s="43"/>
      <c r="G857" s="43"/>
      <c r="H857" s="43"/>
      <c r="I857" s="43"/>
      <c r="J857" s="45"/>
      <c r="K857" s="46"/>
      <c r="L857" s="31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4.5">
      <c r="A858" s="40"/>
      <c r="B858" s="41"/>
      <c r="C858" s="42"/>
      <c r="D858" s="42"/>
      <c r="E858" s="43"/>
      <c r="F858" s="43"/>
      <c r="G858" s="43"/>
      <c r="H858" s="43"/>
      <c r="I858" s="43"/>
      <c r="J858" s="45"/>
      <c r="K858" s="46"/>
      <c r="L858" s="31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4.5">
      <c r="A859" s="40"/>
      <c r="B859" s="41"/>
      <c r="C859" s="42"/>
      <c r="D859" s="42"/>
      <c r="E859" s="43"/>
      <c r="F859" s="43"/>
      <c r="G859" s="43"/>
      <c r="H859" s="43"/>
      <c r="I859" s="43"/>
      <c r="J859" s="45"/>
      <c r="K859" s="46"/>
      <c r="L859" s="31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4.5">
      <c r="A860" s="40"/>
      <c r="B860" s="41"/>
      <c r="C860" s="42"/>
      <c r="D860" s="42"/>
      <c r="E860" s="43"/>
      <c r="F860" s="43"/>
      <c r="G860" s="43"/>
      <c r="H860" s="43"/>
      <c r="I860" s="43"/>
      <c r="J860" s="45"/>
      <c r="K860" s="46"/>
      <c r="L860" s="31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4.5">
      <c r="A861" s="40"/>
      <c r="B861" s="41"/>
      <c r="C861" s="42"/>
      <c r="D861" s="42"/>
      <c r="E861" s="43"/>
      <c r="F861" s="43"/>
      <c r="G861" s="43"/>
      <c r="H861" s="43"/>
      <c r="I861" s="43"/>
      <c r="J861" s="45"/>
      <c r="K861" s="46"/>
      <c r="L861" s="31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4.5">
      <c r="A862" s="40"/>
      <c r="B862" s="41"/>
      <c r="C862" s="42"/>
      <c r="D862" s="42"/>
      <c r="E862" s="43"/>
      <c r="F862" s="43"/>
      <c r="G862" s="43"/>
      <c r="H862" s="43"/>
      <c r="I862" s="43"/>
      <c r="J862" s="45"/>
      <c r="K862" s="46"/>
      <c r="L862" s="31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4.5">
      <c r="A863" s="40"/>
      <c r="B863" s="41"/>
      <c r="C863" s="42"/>
      <c r="D863" s="42"/>
      <c r="E863" s="43"/>
      <c r="F863" s="43"/>
      <c r="G863" s="43"/>
      <c r="H863" s="43"/>
      <c r="I863" s="43"/>
      <c r="J863" s="45"/>
      <c r="K863" s="46"/>
      <c r="L863" s="31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4.5">
      <c r="A864" s="40"/>
      <c r="B864" s="41"/>
      <c r="C864" s="42"/>
      <c r="D864" s="42"/>
      <c r="E864" s="43"/>
      <c r="F864" s="43"/>
      <c r="G864" s="43"/>
      <c r="H864" s="43"/>
      <c r="I864" s="43"/>
      <c r="J864" s="45"/>
      <c r="K864" s="46"/>
      <c r="L864" s="31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4.5">
      <c r="A865" s="40"/>
      <c r="B865" s="41"/>
      <c r="C865" s="42"/>
      <c r="D865" s="42"/>
      <c r="E865" s="43"/>
      <c r="F865" s="43"/>
      <c r="G865" s="43"/>
      <c r="H865" s="43"/>
      <c r="I865" s="43"/>
      <c r="J865" s="45"/>
      <c r="K865" s="46"/>
      <c r="L865" s="31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4.5">
      <c r="A866" s="40"/>
      <c r="B866" s="41"/>
      <c r="C866" s="42"/>
      <c r="D866" s="42"/>
      <c r="E866" s="43"/>
      <c r="F866" s="43"/>
      <c r="G866" s="43"/>
      <c r="H866" s="43"/>
      <c r="I866" s="43"/>
      <c r="J866" s="45"/>
      <c r="K866" s="46"/>
      <c r="L866" s="31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4.5">
      <c r="A867" s="40"/>
      <c r="B867" s="41"/>
      <c r="C867" s="42"/>
      <c r="D867" s="42"/>
      <c r="E867" s="43"/>
      <c r="F867" s="43"/>
      <c r="G867" s="43"/>
      <c r="H867" s="43"/>
      <c r="I867" s="43"/>
      <c r="J867" s="45"/>
      <c r="K867" s="46"/>
      <c r="L867" s="31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4.5">
      <c r="A868" s="40"/>
      <c r="B868" s="41"/>
      <c r="C868" s="42"/>
      <c r="D868" s="42"/>
      <c r="E868" s="43"/>
      <c r="F868" s="43"/>
      <c r="G868" s="43"/>
      <c r="H868" s="43"/>
      <c r="I868" s="43"/>
      <c r="J868" s="45"/>
      <c r="K868" s="46"/>
      <c r="L868" s="31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4.5">
      <c r="A869" s="40"/>
      <c r="B869" s="41"/>
      <c r="C869" s="42"/>
      <c r="D869" s="42"/>
      <c r="E869" s="43"/>
      <c r="F869" s="43"/>
      <c r="G869" s="43"/>
      <c r="H869" s="43"/>
      <c r="I869" s="43"/>
      <c r="J869" s="45"/>
      <c r="K869" s="46"/>
      <c r="L869" s="31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4.5">
      <c r="A870" s="40"/>
      <c r="B870" s="41"/>
      <c r="C870" s="42"/>
      <c r="D870" s="42"/>
      <c r="E870" s="43"/>
      <c r="F870" s="43"/>
      <c r="G870" s="43"/>
      <c r="H870" s="43"/>
      <c r="I870" s="43"/>
      <c r="J870" s="45"/>
      <c r="K870" s="46"/>
      <c r="L870" s="31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4.5">
      <c r="A871" s="40"/>
      <c r="B871" s="41"/>
      <c r="C871" s="42"/>
      <c r="D871" s="42"/>
      <c r="E871" s="43"/>
      <c r="F871" s="43"/>
      <c r="G871" s="43"/>
      <c r="H871" s="43"/>
      <c r="I871" s="43"/>
      <c r="J871" s="45"/>
      <c r="K871" s="46"/>
      <c r="L871" s="31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4.5">
      <c r="A872" s="40"/>
      <c r="B872" s="41"/>
      <c r="C872" s="42"/>
      <c r="D872" s="42"/>
      <c r="E872" s="43"/>
      <c r="F872" s="43"/>
      <c r="G872" s="43"/>
      <c r="H872" s="43"/>
      <c r="I872" s="43"/>
      <c r="J872" s="45"/>
      <c r="K872" s="46"/>
      <c r="L872" s="31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4.5">
      <c r="A873" s="40"/>
      <c r="B873" s="41"/>
      <c r="C873" s="42"/>
      <c r="D873" s="42"/>
      <c r="E873" s="43"/>
      <c r="F873" s="43"/>
      <c r="G873" s="43"/>
      <c r="H873" s="43"/>
      <c r="I873" s="43"/>
      <c r="J873" s="45"/>
      <c r="K873" s="46"/>
      <c r="L873" s="31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4.5">
      <c r="A874" s="40"/>
      <c r="B874" s="41"/>
      <c r="C874" s="42"/>
      <c r="D874" s="42"/>
      <c r="E874" s="43"/>
      <c r="F874" s="43"/>
      <c r="G874" s="43"/>
      <c r="H874" s="43"/>
      <c r="I874" s="43"/>
      <c r="J874" s="45"/>
      <c r="K874" s="46"/>
      <c r="L874" s="31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4.5">
      <c r="A875" s="40"/>
      <c r="B875" s="41"/>
      <c r="C875" s="42"/>
      <c r="D875" s="42"/>
      <c r="E875" s="43"/>
      <c r="F875" s="43"/>
      <c r="G875" s="43"/>
      <c r="H875" s="43"/>
      <c r="I875" s="43"/>
      <c r="J875" s="45"/>
      <c r="K875" s="46"/>
      <c r="L875" s="31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4.5">
      <c r="A876" s="40"/>
      <c r="B876" s="41"/>
      <c r="C876" s="42"/>
      <c r="D876" s="42"/>
      <c r="E876" s="43"/>
      <c r="F876" s="43"/>
      <c r="G876" s="43"/>
      <c r="H876" s="43"/>
      <c r="I876" s="43"/>
      <c r="J876" s="45"/>
      <c r="K876" s="46"/>
      <c r="L876" s="31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4.5">
      <c r="A877" s="40"/>
      <c r="B877" s="41"/>
      <c r="C877" s="42"/>
      <c r="D877" s="42"/>
      <c r="E877" s="43"/>
      <c r="F877" s="43"/>
      <c r="G877" s="43"/>
      <c r="H877" s="43"/>
      <c r="I877" s="43"/>
      <c r="J877" s="45"/>
      <c r="K877" s="46"/>
      <c r="L877" s="31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4.5">
      <c r="A878" s="40"/>
      <c r="B878" s="41"/>
      <c r="C878" s="42"/>
      <c r="D878" s="42"/>
      <c r="E878" s="43"/>
      <c r="F878" s="43"/>
      <c r="G878" s="43"/>
      <c r="H878" s="43"/>
      <c r="I878" s="43"/>
      <c r="J878" s="45"/>
      <c r="K878" s="46"/>
      <c r="L878" s="31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4.5">
      <c r="A879" s="40"/>
      <c r="B879" s="41"/>
      <c r="C879" s="42"/>
      <c r="D879" s="42"/>
      <c r="E879" s="43"/>
      <c r="F879" s="43"/>
      <c r="G879" s="43"/>
      <c r="H879" s="43"/>
      <c r="I879" s="43"/>
      <c r="J879" s="45"/>
      <c r="K879" s="46"/>
      <c r="L879" s="31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4.5">
      <c r="A880" s="40"/>
      <c r="B880" s="41"/>
      <c r="C880" s="42"/>
      <c r="D880" s="42"/>
      <c r="E880" s="43"/>
      <c r="F880" s="43"/>
      <c r="G880" s="43"/>
      <c r="H880" s="43"/>
      <c r="I880" s="43"/>
      <c r="J880" s="45"/>
      <c r="K880" s="46"/>
      <c r="L880" s="31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4.5">
      <c r="A881" s="40"/>
      <c r="B881" s="41"/>
      <c r="C881" s="42"/>
      <c r="D881" s="42"/>
      <c r="E881" s="43"/>
      <c r="F881" s="43"/>
      <c r="G881" s="43"/>
      <c r="H881" s="43"/>
      <c r="I881" s="43"/>
      <c r="J881" s="45"/>
      <c r="K881" s="46"/>
      <c r="L881" s="31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4.5">
      <c r="A882" s="40"/>
      <c r="B882" s="41"/>
      <c r="C882" s="42"/>
      <c r="D882" s="42"/>
      <c r="E882" s="43"/>
      <c r="F882" s="43"/>
      <c r="G882" s="43"/>
      <c r="H882" s="43"/>
      <c r="I882" s="43"/>
      <c r="J882" s="45"/>
      <c r="K882" s="46"/>
      <c r="L882" s="31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4.5">
      <c r="A883" s="40"/>
      <c r="B883" s="41"/>
      <c r="C883" s="42"/>
      <c r="D883" s="42"/>
      <c r="E883" s="43"/>
      <c r="F883" s="43"/>
      <c r="G883" s="43"/>
      <c r="H883" s="43"/>
      <c r="I883" s="43"/>
      <c r="J883" s="45"/>
      <c r="K883" s="46"/>
      <c r="L883" s="31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</sheetData>
  <mergeCells count="7">
    <mergeCell ref="C5:I5"/>
    <mergeCell ref="K1:L1"/>
    <mergeCell ref="A1:B1"/>
    <mergeCell ref="A2:B2"/>
    <mergeCell ref="A3:B3"/>
    <mergeCell ref="A4:B4"/>
    <mergeCell ref="A5:B5"/>
  </mergeCells>
  <dataValidations count="1">
    <dataValidation type="list" allowBlank="1" sqref="L8:L243" xr:uid="{00000000-0002-0000-0300-000000000000}">
      <formula1>"Passed,Failed,Not Executed,Out of Scope"</formula1>
    </dataValidation>
  </dataValidations>
  <hyperlinks>
    <hyperlink ref="C1" r:id="rId1" xr:uid="{00000000-0004-0000-0300-000000000000}"/>
    <hyperlink ref="J8" r:id="rId2" xr:uid="{00000000-0004-0000-0300-000001000000}"/>
    <hyperlink ref="J9" r:id="rId3" xr:uid="{00000000-0004-0000-0300-000002000000}"/>
    <hyperlink ref="J10" r:id="rId4" xr:uid="{00000000-0004-0000-0300-000003000000}"/>
    <hyperlink ref="J11" r:id="rId5" xr:uid="{00000000-0004-0000-0300-000004000000}"/>
    <hyperlink ref="J12" r:id="rId6" xr:uid="{00000000-0004-0000-0300-000005000000}"/>
    <hyperlink ref="J13" r:id="rId7" xr:uid="{00000000-0004-0000-0300-000006000000}"/>
    <hyperlink ref="J14" r:id="rId8" xr:uid="{00000000-0004-0000-0300-000007000000}"/>
    <hyperlink ref="J15" r:id="rId9" xr:uid="{00000000-0004-0000-0300-000008000000}"/>
    <hyperlink ref="J16" r:id="rId10" xr:uid="{00000000-0004-0000-0300-000009000000}"/>
    <hyperlink ref="J17" r:id="rId11" xr:uid="{00000000-0004-0000-0300-00000A000000}"/>
    <hyperlink ref="J18" r:id="rId12" xr:uid="{00000000-0004-0000-0300-00000B000000}"/>
    <hyperlink ref="J19" r:id="rId13" xr:uid="{00000000-0004-0000-0300-00000C000000}"/>
    <hyperlink ref="J20" r:id="rId14" xr:uid="{00000000-0004-0000-0300-00000D000000}"/>
    <hyperlink ref="J21" r:id="rId15" xr:uid="{00000000-0004-0000-0300-00000E000000}"/>
    <hyperlink ref="J22" r:id="rId16" xr:uid="{00000000-0004-0000-0300-00000F000000}"/>
    <hyperlink ref="J23" r:id="rId17" xr:uid="{00000000-0004-0000-0300-000010000000}"/>
    <hyperlink ref="J24" r:id="rId18" xr:uid="{00000000-0004-0000-0300-000011000000}"/>
    <hyperlink ref="J25" r:id="rId19" xr:uid="{00000000-0004-0000-0300-000012000000}"/>
    <hyperlink ref="J28" r:id="rId20" xr:uid="{00000000-0004-0000-0300-000013000000}"/>
    <hyperlink ref="J29" r:id="rId21" xr:uid="{00000000-0004-0000-0300-000014000000}"/>
    <hyperlink ref="J31" r:id="rId22" xr:uid="{00000000-0004-0000-0300-000015000000}"/>
    <hyperlink ref="J32" r:id="rId23" xr:uid="{00000000-0004-0000-0300-000016000000}"/>
    <hyperlink ref="J33" r:id="rId24" xr:uid="{00000000-0004-0000-0300-000017000000}"/>
    <hyperlink ref="J35" r:id="rId25" xr:uid="{00000000-0004-0000-0300-000018000000}"/>
    <hyperlink ref="J61" r:id="rId26" xr:uid="{00000000-0004-0000-0300-000019000000}"/>
    <hyperlink ref="J63" r:id="rId27" xr:uid="{00000000-0004-0000-0300-00001A000000}"/>
    <hyperlink ref="J91" r:id="rId28" xr:uid="{00000000-0004-0000-0300-00001B000000}"/>
    <hyperlink ref="G175" r:id="rId29" xr:uid="{00000000-0004-0000-0300-00001C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D2:D520"/>
  <sheetViews>
    <sheetView workbookViewId="0"/>
  </sheetViews>
  <sheetFormatPr defaultColWidth="12.6328125" defaultRowHeight="15.75" customHeight="1"/>
  <cols>
    <col min="4" max="4" width="101" customWidth="1"/>
  </cols>
  <sheetData>
    <row r="2" spans="4:4" ht="15.75" customHeight="1">
      <c r="D2" s="116" t="s">
        <v>81</v>
      </c>
    </row>
    <row r="3" spans="4:4" ht="15.75" customHeight="1">
      <c r="D3" s="117"/>
    </row>
    <row r="4" spans="4:4" ht="15.75" customHeight="1">
      <c r="D4" s="117"/>
    </row>
    <row r="5" spans="4:4" ht="15.75" customHeight="1">
      <c r="D5" s="118"/>
    </row>
    <row r="6" spans="4:4" ht="15.75" customHeight="1">
      <c r="D6" s="119" t="s">
        <v>82</v>
      </c>
    </row>
    <row r="7" spans="4:4" ht="15.75" customHeight="1">
      <c r="D7" s="120"/>
    </row>
    <row r="8" spans="4:4" ht="15.75" customHeight="1">
      <c r="D8" s="122" t="s">
        <v>84</v>
      </c>
    </row>
    <row r="9" spans="4:4" ht="15.75" customHeight="1">
      <c r="D9" s="120"/>
    </row>
    <row r="10" spans="4:4" ht="15.75" customHeight="1">
      <c r="D10" s="16" t="s">
        <v>85</v>
      </c>
    </row>
    <row r="11" spans="4:4" ht="15.75" customHeight="1">
      <c r="D11" s="17" t="s">
        <v>86</v>
      </c>
    </row>
    <row r="12" spans="4:4" ht="15.75" customHeight="1">
      <c r="D12" s="16" t="s">
        <v>87</v>
      </c>
    </row>
    <row r="13" spans="4:4" ht="15.75" customHeight="1">
      <c r="D13" s="16" t="s">
        <v>89</v>
      </c>
    </row>
    <row r="14" spans="4:4" ht="15.75" customHeight="1">
      <c r="D14" s="16" t="s">
        <v>91</v>
      </c>
    </row>
    <row r="15" spans="4:4" ht="15.75" customHeight="1">
      <c r="D15" s="16" t="s">
        <v>93</v>
      </c>
    </row>
    <row r="16" spans="4:4" ht="15.75" customHeight="1">
      <c r="D16" s="18" t="s">
        <v>95</v>
      </c>
    </row>
    <row r="17" spans="4:4" ht="15.75" customHeight="1">
      <c r="D17" s="19" t="s">
        <v>103</v>
      </c>
    </row>
    <row r="18" spans="4:4" ht="15.75" customHeight="1">
      <c r="D18" s="21" t="s">
        <v>105</v>
      </c>
    </row>
    <row r="19" spans="4:4" ht="15.75" customHeight="1">
      <c r="D19" s="22" t="s">
        <v>106</v>
      </c>
    </row>
    <row r="22" spans="4:4" ht="12.5">
      <c r="D22" s="116" t="s">
        <v>81</v>
      </c>
    </row>
    <row r="23" spans="4:4" ht="12.5">
      <c r="D23" s="117"/>
    </row>
    <row r="24" spans="4:4" ht="12.5">
      <c r="D24" s="117"/>
    </row>
    <row r="25" spans="4:4" ht="12.5">
      <c r="D25" s="118"/>
    </row>
    <row r="26" spans="4:4" ht="12.5">
      <c r="D26" s="119" t="s">
        <v>111</v>
      </c>
    </row>
    <row r="27" spans="4:4" ht="12.5">
      <c r="D27" s="120"/>
    </row>
    <row r="28" spans="4:4" ht="12.5">
      <c r="D28" s="122" t="s">
        <v>114</v>
      </c>
    </row>
    <row r="29" spans="4:4" ht="12.5">
      <c r="D29" s="120"/>
    </row>
    <row r="30" spans="4:4" ht="14.5">
      <c r="D30" s="16" t="s">
        <v>85</v>
      </c>
    </row>
    <row r="31" spans="4:4" ht="43.5">
      <c r="D31" s="17" t="s">
        <v>119</v>
      </c>
    </row>
    <row r="32" spans="4:4" ht="14.5">
      <c r="D32" s="16" t="s">
        <v>120</v>
      </c>
    </row>
    <row r="33" spans="4:4" ht="14.5">
      <c r="D33" s="16" t="s">
        <v>121</v>
      </c>
    </row>
    <row r="34" spans="4:4" ht="14.5">
      <c r="D34" s="16" t="s">
        <v>122</v>
      </c>
    </row>
    <row r="35" spans="4:4" ht="14.5">
      <c r="D35" s="16" t="s">
        <v>123</v>
      </c>
    </row>
    <row r="36" spans="4:4" ht="14.5">
      <c r="D36" s="25" t="s">
        <v>124</v>
      </c>
    </row>
    <row r="37" spans="4:4" ht="29">
      <c r="D37" s="19" t="s">
        <v>134</v>
      </c>
    </row>
    <row r="38" spans="4:4" ht="14.5">
      <c r="D38" s="21" t="s">
        <v>135</v>
      </c>
    </row>
    <row r="39" spans="4:4" ht="14.5">
      <c r="D39" s="22" t="s">
        <v>136</v>
      </c>
    </row>
    <row r="42" spans="4:4" ht="12.5">
      <c r="D42" s="116" t="s">
        <v>81</v>
      </c>
    </row>
    <row r="43" spans="4:4" ht="12.5">
      <c r="D43" s="117"/>
    </row>
    <row r="44" spans="4:4" ht="12.5">
      <c r="D44" s="117"/>
    </row>
    <row r="45" spans="4:4" ht="12.5">
      <c r="D45" s="118"/>
    </row>
    <row r="46" spans="4:4" ht="12.5">
      <c r="D46" s="119" t="s">
        <v>140</v>
      </c>
    </row>
    <row r="47" spans="4:4" ht="12.5">
      <c r="D47" s="120"/>
    </row>
    <row r="48" spans="4:4" ht="12.5">
      <c r="D48" s="122" t="s">
        <v>145</v>
      </c>
    </row>
    <row r="49" spans="4:4" ht="12.5">
      <c r="D49" s="120"/>
    </row>
    <row r="50" spans="4:4" ht="14.5">
      <c r="D50" s="16" t="s">
        <v>85</v>
      </c>
    </row>
    <row r="51" spans="4:4" ht="43.5">
      <c r="D51" s="17" t="s">
        <v>146</v>
      </c>
    </row>
    <row r="52" spans="4:4" ht="14.5">
      <c r="D52" s="16" t="s">
        <v>147</v>
      </c>
    </row>
    <row r="53" spans="4:4" ht="14.5">
      <c r="D53" s="16" t="s">
        <v>148</v>
      </c>
    </row>
    <row r="54" spans="4:4" ht="14.5">
      <c r="D54" s="16" t="s">
        <v>149</v>
      </c>
    </row>
    <row r="55" spans="4:4" ht="14.5">
      <c r="D55" s="16" t="s">
        <v>151</v>
      </c>
    </row>
    <row r="56" spans="4:4" ht="14.5">
      <c r="D56" s="25" t="s">
        <v>153</v>
      </c>
    </row>
    <row r="57" spans="4:4" ht="29">
      <c r="D57" s="19" t="s">
        <v>162</v>
      </c>
    </row>
    <row r="58" spans="4:4" ht="14.5">
      <c r="D58" s="21" t="s">
        <v>166</v>
      </c>
    </row>
    <row r="59" spans="4:4" ht="14.5">
      <c r="D59" s="22" t="s">
        <v>136</v>
      </c>
    </row>
    <row r="62" spans="4:4" ht="12.5">
      <c r="D62" s="116" t="s">
        <v>81</v>
      </c>
    </row>
    <row r="63" spans="4:4" ht="12.5">
      <c r="D63" s="117"/>
    </row>
    <row r="64" spans="4:4" ht="12.5">
      <c r="D64" s="117"/>
    </row>
    <row r="65" spans="4:4" ht="12.5">
      <c r="D65" s="118"/>
    </row>
    <row r="66" spans="4:4" ht="12.5">
      <c r="D66" s="119" t="s">
        <v>167</v>
      </c>
    </row>
    <row r="67" spans="4:4" ht="12.5">
      <c r="D67" s="120"/>
    </row>
    <row r="68" spans="4:4" ht="12.5">
      <c r="D68" s="122" t="s">
        <v>170</v>
      </c>
    </row>
    <row r="69" spans="4:4" ht="12.5">
      <c r="D69" s="120"/>
    </row>
    <row r="70" spans="4:4" ht="14.5">
      <c r="D70" s="16" t="s">
        <v>85</v>
      </c>
    </row>
    <row r="71" spans="4:4" ht="14.5">
      <c r="D71" s="17" t="s">
        <v>176</v>
      </c>
    </row>
    <row r="72" spans="4:4" ht="14.5">
      <c r="D72" s="16" t="s">
        <v>177</v>
      </c>
    </row>
    <row r="73" spans="4:4" ht="14.5">
      <c r="D73" s="16" t="s">
        <v>178</v>
      </c>
    </row>
    <row r="74" spans="4:4" ht="14.5">
      <c r="D74" s="16" t="s">
        <v>179</v>
      </c>
    </row>
    <row r="75" spans="4:4" ht="14.5">
      <c r="D75" s="16" t="s">
        <v>180</v>
      </c>
    </row>
    <row r="76" spans="4:4" ht="14.5">
      <c r="D76" s="25" t="s">
        <v>183</v>
      </c>
    </row>
    <row r="77" spans="4:4" ht="14.5">
      <c r="D77" s="19" t="s">
        <v>193</v>
      </c>
    </row>
    <row r="78" spans="4:4" ht="14.5">
      <c r="D78" s="21" t="s">
        <v>196</v>
      </c>
    </row>
    <row r="79" spans="4:4" ht="14.5">
      <c r="D79" s="22" t="s">
        <v>136</v>
      </c>
    </row>
    <row r="82" spans="4:4" ht="12.5">
      <c r="D82" s="116" t="s">
        <v>81</v>
      </c>
    </row>
    <row r="83" spans="4:4" ht="12.5">
      <c r="D83" s="117"/>
    </row>
    <row r="84" spans="4:4" ht="12.5">
      <c r="D84" s="117"/>
    </row>
    <row r="85" spans="4:4" ht="12.5">
      <c r="D85" s="118"/>
    </row>
    <row r="86" spans="4:4" ht="12.5">
      <c r="D86" s="119" t="s">
        <v>197</v>
      </c>
    </row>
    <row r="87" spans="4:4" ht="12.5">
      <c r="D87" s="120"/>
    </row>
    <row r="88" spans="4:4" ht="12.5">
      <c r="D88" s="122" t="s">
        <v>198</v>
      </c>
    </row>
    <row r="89" spans="4:4" ht="12.5">
      <c r="D89" s="120"/>
    </row>
    <row r="90" spans="4:4" ht="14.5">
      <c r="D90" s="16" t="s">
        <v>85</v>
      </c>
    </row>
    <row r="91" spans="4:4" ht="43.5">
      <c r="D91" s="17" t="s">
        <v>171</v>
      </c>
    </row>
    <row r="92" spans="4:4" ht="14.5">
      <c r="D92" s="16" t="s">
        <v>201</v>
      </c>
    </row>
    <row r="93" spans="4:4" ht="14.5">
      <c r="D93" s="16" t="s">
        <v>205</v>
      </c>
    </row>
    <row r="94" spans="4:4" ht="14.5">
      <c r="D94" s="16" t="s">
        <v>207</v>
      </c>
    </row>
    <row r="95" spans="4:4" ht="14.5">
      <c r="D95" s="16" t="s">
        <v>208</v>
      </c>
    </row>
    <row r="96" spans="4:4" ht="14.5">
      <c r="D96" s="25" t="s">
        <v>209</v>
      </c>
    </row>
    <row r="97" spans="4:4" ht="14.5">
      <c r="D97" s="19" t="s">
        <v>215</v>
      </c>
    </row>
    <row r="98" spans="4:4" ht="14.5">
      <c r="D98" s="21" t="s">
        <v>216</v>
      </c>
    </row>
    <row r="99" spans="4:4" ht="14.5">
      <c r="D99" s="22" t="s">
        <v>136</v>
      </c>
    </row>
    <row r="102" spans="4:4" ht="12.5">
      <c r="D102" s="116" t="s">
        <v>81</v>
      </c>
    </row>
    <row r="103" spans="4:4" ht="12.5">
      <c r="D103" s="117"/>
    </row>
    <row r="104" spans="4:4" ht="12.5">
      <c r="D104" s="117"/>
    </row>
    <row r="105" spans="4:4" ht="12.5">
      <c r="D105" s="118"/>
    </row>
    <row r="106" spans="4:4" ht="12.5">
      <c r="D106" s="119" t="s">
        <v>217</v>
      </c>
    </row>
    <row r="107" spans="4:4" ht="12.5">
      <c r="D107" s="120"/>
    </row>
    <row r="108" spans="4:4" ht="12.5">
      <c r="D108" s="122" t="s">
        <v>218</v>
      </c>
    </row>
    <row r="109" spans="4:4" ht="12.5">
      <c r="D109" s="120"/>
    </row>
    <row r="110" spans="4:4" ht="14.5">
      <c r="D110" s="16" t="s">
        <v>85</v>
      </c>
    </row>
    <row r="111" spans="4:4" ht="43.5">
      <c r="D111" s="17" t="s">
        <v>184</v>
      </c>
    </row>
    <row r="112" spans="4:4" ht="14.5">
      <c r="D112" s="16" t="s">
        <v>225</v>
      </c>
    </row>
    <row r="113" spans="4:4" ht="14.5">
      <c r="D113" s="16" t="s">
        <v>226</v>
      </c>
    </row>
    <row r="114" spans="4:4" ht="14.5">
      <c r="D114" s="16" t="s">
        <v>228</v>
      </c>
    </row>
    <row r="115" spans="4:4" ht="14.5">
      <c r="D115" s="16" t="s">
        <v>230</v>
      </c>
    </row>
    <row r="116" spans="4:4" ht="14.5">
      <c r="D116" s="25" t="s">
        <v>235</v>
      </c>
    </row>
    <row r="117" spans="4:4" ht="14.5">
      <c r="D117" s="19" t="s">
        <v>239</v>
      </c>
    </row>
    <row r="118" spans="4:4" ht="14.5">
      <c r="D118" s="21" t="s">
        <v>242</v>
      </c>
    </row>
    <row r="119" spans="4:4" ht="14.5">
      <c r="D119" s="22" t="s">
        <v>136</v>
      </c>
    </row>
    <row r="122" spans="4:4" ht="12.5">
      <c r="D122" s="116" t="s">
        <v>81</v>
      </c>
    </row>
    <row r="123" spans="4:4" ht="12.5">
      <c r="D123" s="117"/>
    </row>
    <row r="124" spans="4:4" ht="12.5">
      <c r="D124" s="117"/>
    </row>
    <row r="125" spans="4:4" ht="12.5">
      <c r="D125" s="118"/>
    </row>
    <row r="126" spans="4:4" ht="12.5">
      <c r="D126" s="119" t="s">
        <v>246</v>
      </c>
    </row>
    <row r="127" spans="4:4" ht="12.5">
      <c r="D127" s="120"/>
    </row>
    <row r="128" spans="4:4" ht="12.5">
      <c r="D128" s="122" t="s">
        <v>247</v>
      </c>
    </row>
    <row r="129" spans="4:4" ht="12.5">
      <c r="D129" s="120"/>
    </row>
    <row r="130" spans="4:4" ht="14.5">
      <c r="D130" s="16" t="s">
        <v>85</v>
      </c>
    </row>
    <row r="131" spans="4:4" ht="43.5">
      <c r="D131" s="17" t="s">
        <v>202</v>
      </c>
    </row>
    <row r="132" spans="4:4" ht="14.5">
      <c r="D132" s="16" t="s">
        <v>253</v>
      </c>
    </row>
    <row r="133" spans="4:4" ht="14.5">
      <c r="D133" s="16" t="s">
        <v>256</v>
      </c>
    </row>
    <row r="134" spans="4:4" ht="14.5">
      <c r="D134" s="16" t="s">
        <v>261</v>
      </c>
    </row>
    <row r="135" spans="4:4" ht="14.5">
      <c r="D135" s="16" t="s">
        <v>263</v>
      </c>
    </row>
    <row r="136" spans="4:4" ht="14.5">
      <c r="D136" s="16" t="s">
        <v>264</v>
      </c>
    </row>
    <row r="137" spans="4:4" ht="14.5">
      <c r="D137" s="25" t="s">
        <v>265</v>
      </c>
    </row>
    <row r="138" spans="4:4" ht="29">
      <c r="D138" s="19" t="s">
        <v>271</v>
      </c>
    </row>
    <row r="139" spans="4:4" ht="14.5">
      <c r="D139" s="21" t="s">
        <v>272</v>
      </c>
    </row>
    <row r="140" spans="4:4" ht="14.5">
      <c r="D140" s="22" t="s">
        <v>136</v>
      </c>
    </row>
    <row r="143" spans="4:4" ht="12.5">
      <c r="D143" s="116" t="s">
        <v>81</v>
      </c>
    </row>
    <row r="144" spans="4:4" ht="12.5">
      <c r="D144" s="117"/>
    </row>
    <row r="145" spans="4:4" ht="12.5">
      <c r="D145" s="117"/>
    </row>
    <row r="146" spans="4:4" ht="12.5">
      <c r="D146" s="118"/>
    </row>
    <row r="147" spans="4:4" ht="12.5">
      <c r="D147" s="119" t="s">
        <v>274</v>
      </c>
    </row>
    <row r="148" spans="4:4" ht="12.5">
      <c r="D148" s="120"/>
    </row>
    <row r="149" spans="4:4" ht="12.5">
      <c r="D149" s="122" t="s">
        <v>280</v>
      </c>
    </row>
    <row r="150" spans="4:4" ht="12.5">
      <c r="D150" s="120"/>
    </row>
    <row r="151" spans="4:4" ht="14.5">
      <c r="D151" s="16" t="s">
        <v>85</v>
      </c>
    </row>
    <row r="152" spans="4:4" ht="43.5">
      <c r="D152" s="17" t="s">
        <v>212</v>
      </c>
    </row>
    <row r="153" spans="4:4" ht="14.5">
      <c r="D153" s="16" t="s">
        <v>281</v>
      </c>
    </row>
    <row r="154" spans="4:4" ht="14.5">
      <c r="D154" s="16" t="s">
        <v>282</v>
      </c>
    </row>
    <row r="155" spans="4:4" ht="14.5">
      <c r="D155" s="16" t="s">
        <v>284</v>
      </c>
    </row>
    <row r="156" spans="4:4" ht="14.5">
      <c r="D156" s="16" t="s">
        <v>286</v>
      </c>
    </row>
    <row r="157" spans="4:4" ht="14.5">
      <c r="D157" s="25" t="s">
        <v>290</v>
      </c>
    </row>
    <row r="158" spans="4:4" ht="14.5">
      <c r="D158" s="19" t="s">
        <v>293</v>
      </c>
    </row>
    <row r="159" spans="4:4" ht="14.5">
      <c r="D159" s="21" t="s">
        <v>294</v>
      </c>
    </row>
    <row r="160" spans="4:4" ht="14.5">
      <c r="D160" s="22" t="s">
        <v>136</v>
      </c>
    </row>
    <row r="163" spans="4:4" ht="12.5">
      <c r="D163" s="116" t="s">
        <v>81</v>
      </c>
    </row>
    <row r="164" spans="4:4" ht="12.5">
      <c r="D164" s="117"/>
    </row>
    <row r="165" spans="4:4" ht="12.5">
      <c r="D165" s="117"/>
    </row>
    <row r="166" spans="4:4" ht="12.5">
      <c r="D166" s="118"/>
    </row>
    <row r="167" spans="4:4" ht="12.5">
      <c r="D167" s="119" t="s">
        <v>295</v>
      </c>
    </row>
    <row r="168" spans="4:4" ht="12.5">
      <c r="D168" s="120"/>
    </row>
    <row r="169" spans="4:4" ht="12.5">
      <c r="D169" s="121" t="s">
        <v>299</v>
      </c>
    </row>
    <row r="170" spans="4:4" ht="12.5">
      <c r="D170" s="120"/>
    </row>
    <row r="171" spans="4:4" ht="14.5">
      <c r="D171" s="16" t="s">
        <v>85</v>
      </c>
    </row>
    <row r="172" spans="4:4" ht="43.5">
      <c r="D172" s="17" t="s">
        <v>221</v>
      </c>
    </row>
    <row r="173" spans="4:4" ht="14.5">
      <c r="D173" s="16" t="s">
        <v>312</v>
      </c>
    </row>
    <row r="174" spans="4:4" ht="14.5">
      <c r="D174" s="16" t="s">
        <v>316</v>
      </c>
    </row>
    <row r="175" spans="4:4" ht="14.5">
      <c r="D175" s="16" t="s">
        <v>318</v>
      </c>
    </row>
    <row r="176" spans="4:4" ht="14.5">
      <c r="D176" s="16" t="s">
        <v>319</v>
      </c>
    </row>
    <row r="177" spans="4:4" ht="14.5">
      <c r="D177" s="25" t="s">
        <v>320</v>
      </c>
    </row>
    <row r="178" spans="4:4" ht="14.5">
      <c r="D178" s="19" t="s">
        <v>321</v>
      </c>
    </row>
    <row r="179" spans="4:4" ht="29">
      <c r="D179" s="28" t="s">
        <v>322</v>
      </c>
    </row>
    <row r="180" spans="4:4" ht="14.5">
      <c r="D180" s="22" t="s">
        <v>136</v>
      </c>
    </row>
    <row r="183" spans="4:4" ht="12.5">
      <c r="D183" s="116" t="s">
        <v>81</v>
      </c>
    </row>
    <row r="184" spans="4:4" ht="12.5">
      <c r="D184" s="117"/>
    </row>
    <row r="185" spans="4:4" ht="12.5">
      <c r="D185" s="117"/>
    </row>
    <row r="186" spans="4:4" ht="12.5">
      <c r="D186" s="118"/>
    </row>
    <row r="187" spans="4:4" ht="12.5">
      <c r="D187" s="119" t="s">
        <v>330</v>
      </c>
    </row>
    <row r="188" spans="4:4" ht="12.5">
      <c r="D188" s="120"/>
    </row>
    <row r="189" spans="4:4" ht="12.5">
      <c r="D189" s="121" t="s">
        <v>337</v>
      </c>
    </row>
    <row r="190" spans="4:4" ht="12.5">
      <c r="D190" s="120"/>
    </row>
    <row r="191" spans="4:4" ht="14.5">
      <c r="D191" s="16" t="s">
        <v>85</v>
      </c>
    </row>
    <row r="192" spans="4:4" ht="43.5">
      <c r="D192" s="17" t="s">
        <v>231</v>
      </c>
    </row>
    <row r="193" spans="4:4" ht="14.5">
      <c r="D193" s="16" t="s">
        <v>345</v>
      </c>
    </row>
    <row r="194" spans="4:4" ht="14.5">
      <c r="D194" s="16" t="s">
        <v>346</v>
      </c>
    </row>
    <row r="195" spans="4:4" ht="14.5">
      <c r="D195" s="16" t="s">
        <v>347</v>
      </c>
    </row>
    <row r="196" spans="4:4" ht="14.5">
      <c r="D196" s="16" t="s">
        <v>348</v>
      </c>
    </row>
    <row r="197" spans="4:4" ht="14.5">
      <c r="D197" s="25" t="s">
        <v>349</v>
      </c>
    </row>
    <row r="198" spans="4:4" ht="14.5">
      <c r="D198" s="19" t="s">
        <v>358</v>
      </c>
    </row>
    <row r="199" spans="4:4" ht="14.5">
      <c r="D199" s="21" t="s">
        <v>359</v>
      </c>
    </row>
    <row r="200" spans="4:4" ht="14.5">
      <c r="D200" s="22" t="s">
        <v>136</v>
      </c>
    </row>
    <row r="203" spans="4:4" ht="12.5">
      <c r="D203" s="116" t="s">
        <v>81</v>
      </c>
    </row>
    <row r="204" spans="4:4" ht="12.5">
      <c r="D204" s="117"/>
    </row>
    <row r="205" spans="4:4" ht="12.5">
      <c r="D205" s="117"/>
    </row>
    <row r="206" spans="4:4" ht="12.5">
      <c r="D206" s="118"/>
    </row>
    <row r="207" spans="4:4" ht="12.5">
      <c r="D207" s="119" t="s">
        <v>369</v>
      </c>
    </row>
    <row r="208" spans="4:4" ht="12.5">
      <c r="D208" s="120"/>
    </row>
    <row r="209" spans="4:4" ht="12.5">
      <c r="D209" s="121" t="s">
        <v>377</v>
      </c>
    </row>
    <row r="210" spans="4:4" ht="12.5">
      <c r="D210" s="120"/>
    </row>
    <row r="211" spans="4:4" ht="14.5">
      <c r="D211" s="16" t="s">
        <v>85</v>
      </c>
    </row>
    <row r="212" spans="4:4" ht="43.5">
      <c r="D212" s="17" t="s">
        <v>240</v>
      </c>
    </row>
    <row r="213" spans="4:4" ht="14.5">
      <c r="D213" s="16" t="s">
        <v>385</v>
      </c>
    </row>
    <row r="214" spans="4:4" ht="14.5">
      <c r="D214" s="16" t="s">
        <v>389</v>
      </c>
    </row>
    <row r="215" spans="4:4" ht="14.5">
      <c r="D215" s="16" t="s">
        <v>390</v>
      </c>
    </row>
    <row r="216" spans="4:4" ht="14.5">
      <c r="D216" s="16" t="s">
        <v>391</v>
      </c>
    </row>
    <row r="217" spans="4:4" ht="14.5">
      <c r="D217" s="16" t="s">
        <v>393</v>
      </c>
    </row>
    <row r="218" spans="4:4" ht="14.5">
      <c r="D218" s="25" t="s">
        <v>394</v>
      </c>
    </row>
    <row r="219" spans="4:4" ht="29">
      <c r="D219" s="19" t="s">
        <v>415</v>
      </c>
    </row>
    <row r="220" spans="4:4" ht="29">
      <c r="D220" s="28" t="s">
        <v>419</v>
      </c>
    </row>
    <row r="221" spans="4:4" ht="14.5">
      <c r="D221" s="22" t="s">
        <v>136</v>
      </c>
    </row>
    <row r="224" spans="4:4" ht="12.5">
      <c r="D224" s="116" t="s">
        <v>81</v>
      </c>
    </row>
    <row r="225" spans="4:4" ht="12.5">
      <c r="D225" s="117"/>
    </row>
    <row r="226" spans="4:4" ht="12.5">
      <c r="D226" s="117"/>
    </row>
    <row r="227" spans="4:4" ht="12.5">
      <c r="D227" s="118"/>
    </row>
    <row r="228" spans="4:4" ht="12.5">
      <c r="D228" s="119" t="s">
        <v>435</v>
      </c>
    </row>
    <row r="229" spans="4:4" ht="12.5">
      <c r="D229" s="120"/>
    </row>
    <row r="230" spans="4:4" ht="12.5">
      <c r="D230" s="121" t="s">
        <v>447</v>
      </c>
    </row>
    <row r="231" spans="4:4" ht="12.5">
      <c r="D231" s="120"/>
    </row>
    <row r="232" spans="4:4" ht="14.5">
      <c r="D232" s="16" t="s">
        <v>85</v>
      </c>
    </row>
    <row r="233" spans="4:4" ht="29">
      <c r="D233" s="17" t="s">
        <v>257</v>
      </c>
    </row>
    <row r="234" spans="4:4" ht="14.5">
      <c r="D234" s="16" t="s">
        <v>459</v>
      </c>
    </row>
    <row r="235" spans="4:4" ht="14.5">
      <c r="D235" s="16" t="s">
        <v>463</v>
      </c>
    </row>
    <row r="236" spans="4:4" ht="14.5">
      <c r="D236" s="16" t="s">
        <v>466</v>
      </c>
    </row>
    <row r="237" spans="4:4" ht="14.5">
      <c r="D237" s="16" t="s">
        <v>468</v>
      </c>
    </row>
    <row r="238" spans="4:4" ht="14.5">
      <c r="D238" s="25" t="s">
        <v>474</v>
      </c>
    </row>
    <row r="239" spans="4:4" ht="14.5">
      <c r="D239" s="19" t="s">
        <v>495</v>
      </c>
    </row>
    <row r="240" spans="4:4" ht="14.5">
      <c r="D240" s="21" t="s">
        <v>497</v>
      </c>
    </row>
    <row r="241" spans="4:4" ht="14.5">
      <c r="D241" s="22" t="s">
        <v>136</v>
      </c>
    </row>
    <row r="244" spans="4:4" ht="12.5">
      <c r="D244" s="116" t="s">
        <v>81</v>
      </c>
    </row>
    <row r="245" spans="4:4" ht="12.5">
      <c r="D245" s="117"/>
    </row>
    <row r="246" spans="4:4" ht="12.5">
      <c r="D246" s="117"/>
    </row>
    <row r="247" spans="4:4" ht="12.5">
      <c r="D247" s="118"/>
    </row>
    <row r="248" spans="4:4" ht="12.5">
      <c r="D248" s="119" t="s">
        <v>512</v>
      </c>
    </row>
    <row r="249" spans="4:4" ht="12.5">
      <c r="D249" s="120"/>
    </row>
    <row r="250" spans="4:4" ht="12.5">
      <c r="D250" s="121" t="s">
        <v>519</v>
      </c>
    </row>
    <row r="251" spans="4:4" ht="12.5">
      <c r="D251" s="120"/>
    </row>
    <row r="252" spans="4:4" ht="14.5">
      <c r="D252" s="16" t="s">
        <v>85</v>
      </c>
    </row>
    <row r="253" spans="4:4" ht="29">
      <c r="D253" s="17" t="s">
        <v>257</v>
      </c>
    </row>
    <row r="254" spans="4:4" ht="14.5">
      <c r="D254" s="16" t="s">
        <v>527</v>
      </c>
    </row>
    <row r="255" spans="4:4" ht="14.5">
      <c r="D255" s="16" t="s">
        <v>530</v>
      </c>
    </row>
    <row r="256" spans="4:4" ht="14.5">
      <c r="D256" s="16" t="s">
        <v>534</v>
      </c>
    </row>
    <row r="257" spans="4:4" ht="14.5">
      <c r="D257" s="16" t="s">
        <v>537</v>
      </c>
    </row>
    <row r="258" spans="4:4" ht="14.5">
      <c r="D258" s="25" t="s">
        <v>539</v>
      </c>
    </row>
    <row r="259" spans="4:4" ht="14.5">
      <c r="D259" s="19" t="s">
        <v>559</v>
      </c>
    </row>
    <row r="260" spans="4:4" ht="14.5">
      <c r="D260" s="21" t="s">
        <v>560</v>
      </c>
    </row>
    <row r="261" spans="4:4" ht="14.5">
      <c r="D261" s="22" t="s">
        <v>136</v>
      </c>
    </row>
    <row r="264" spans="4:4" ht="12.5">
      <c r="D264" s="116" t="s">
        <v>81</v>
      </c>
    </row>
    <row r="265" spans="4:4" ht="12.5">
      <c r="D265" s="117"/>
    </row>
    <row r="266" spans="4:4" ht="12.5">
      <c r="D266" s="117"/>
    </row>
    <row r="267" spans="4:4" ht="12.5">
      <c r="D267" s="118"/>
    </row>
    <row r="268" spans="4:4" ht="12.5">
      <c r="D268" s="119" t="s">
        <v>576</v>
      </c>
    </row>
    <row r="269" spans="4:4" ht="12.5">
      <c r="D269" s="120"/>
    </row>
    <row r="270" spans="4:4" ht="12.5">
      <c r="D270" s="121" t="s">
        <v>584</v>
      </c>
    </row>
    <row r="271" spans="4:4" ht="12.5">
      <c r="D271" s="120"/>
    </row>
    <row r="272" spans="4:4" ht="14.5">
      <c r="D272" s="16" t="s">
        <v>85</v>
      </c>
    </row>
    <row r="273" spans="4:4" ht="43.5">
      <c r="D273" s="17" t="s">
        <v>305</v>
      </c>
    </row>
    <row r="274" spans="4:4" ht="14.5">
      <c r="D274" s="16" t="s">
        <v>592</v>
      </c>
    </row>
    <row r="275" spans="4:4" ht="14.5">
      <c r="D275" s="16" t="s">
        <v>594</v>
      </c>
    </row>
    <row r="276" spans="4:4" ht="14.5">
      <c r="D276" s="16" t="s">
        <v>599</v>
      </c>
    </row>
    <row r="277" spans="4:4" ht="14.5">
      <c r="D277" s="16" t="s">
        <v>602</v>
      </c>
    </row>
    <row r="278" spans="4:4" ht="14.5">
      <c r="D278" s="18" t="s">
        <v>605</v>
      </c>
    </row>
    <row r="279" spans="4:4" ht="14.5">
      <c r="D279" s="19" t="s">
        <v>609</v>
      </c>
    </row>
    <row r="280" spans="4:4" ht="14.5">
      <c r="D280" s="21" t="s">
        <v>610</v>
      </c>
    </row>
    <row r="281" spans="4:4" ht="14.5">
      <c r="D281" s="22" t="s">
        <v>136</v>
      </c>
    </row>
    <row r="284" spans="4:4" ht="12.5">
      <c r="D284" s="116" t="s">
        <v>81</v>
      </c>
    </row>
    <row r="285" spans="4:4" ht="12.5">
      <c r="D285" s="117"/>
    </row>
    <row r="286" spans="4:4" ht="12.5">
      <c r="D286" s="117"/>
    </row>
    <row r="287" spans="4:4" ht="12.5">
      <c r="D287" s="118"/>
    </row>
    <row r="288" spans="4:4" ht="12.5">
      <c r="D288" s="119" t="s">
        <v>623</v>
      </c>
    </row>
    <row r="289" spans="4:4" ht="12.5">
      <c r="D289" s="120"/>
    </row>
    <row r="290" spans="4:4" ht="12.5">
      <c r="D290" s="121" t="s">
        <v>624</v>
      </c>
    </row>
    <row r="291" spans="4:4" ht="12.5">
      <c r="D291" s="120"/>
    </row>
    <row r="292" spans="4:4" ht="14.5">
      <c r="D292" s="16" t="s">
        <v>85</v>
      </c>
    </row>
    <row r="293" spans="4:4" ht="43.5">
      <c r="D293" s="17" t="s">
        <v>325</v>
      </c>
    </row>
    <row r="294" spans="4:4" ht="14.5">
      <c r="D294" s="16" t="s">
        <v>626</v>
      </c>
    </row>
    <row r="295" spans="4:4" ht="14.5">
      <c r="D295" s="16" t="s">
        <v>629</v>
      </c>
    </row>
    <row r="296" spans="4:4" ht="14.5">
      <c r="D296" s="16" t="s">
        <v>633</v>
      </c>
    </row>
    <row r="297" spans="4:4" ht="14.5">
      <c r="D297" s="16" t="s">
        <v>635</v>
      </c>
    </row>
    <row r="298" spans="4:4" ht="14.5">
      <c r="D298" s="18" t="s">
        <v>641</v>
      </c>
    </row>
    <row r="299" spans="4:4" ht="14.5">
      <c r="D299" s="19" t="s">
        <v>662</v>
      </c>
    </row>
    <row r="300" spans="4:4" ht="14.5">
      <c r="D300" s="21" t="s">
        <v>663</v>
      </c>
    </row>
    <row r="301" spans="4:4" ht="14.5">
      <c r="D301" s="22" t="s">
        <v>136</v>
      </c>
    </row>
    <row r="304" spans="4:4" ht="12.5">
      <c r="D304" s="116" t="s">
        <v>81</v>
      </c>
    </row>
    <row r="305" spans="4:4" ht="12.5">
      <c r="D305" s="117"/>
    </row>
    <row r="306" spans="4:4" ht="12.5">
      <c r="D306" s="117"/>
    </row>
    <row r="307" spans="4:4" ht="12.5">
      <c r="D307" s="118"/>
    </row>
    <row r="308" spans="4:4" ht="12.5">
      <c r="D308" s="119" t="s">
        <v>677</v>
      </c>
    </row>
    <row r="309" spans="4:4" ht="12.5">
      <c r="D309" s="120"/>
    </row>
    <row r="310" spans="4:4" ht="12.5">
      <c r="D310" s="121" t="s">
        <v>683</v>
      </c>
    </row>
    <row r="311" spans="4:4" ht="12.5">
      <c r="D311" s="120"/>
    </row>
    <row r="312" spans="4:4" ht="14.5">
      <c r="D312" s="16" t="s">
        <v>85</v>
      </c>
    </row>
    <row r="313" spans="4:4" ht="43.5">
      <c r="D313" s="17" t="s">
        <v>333</v>
      </c>
    </row>
    <row r="314" spans="4:4" ht="14.5">
      <c r="D314" s="16" t="s">
        <v>693</v>
      </c>
    </row>
    <row r="315" spans="4:4" ht="14.5">
      <c r="D315" s="16" t="s">
        <v>694</v>
      </c>
    </row>
    <row r="316" spans="4:4" ht="14.5">
      <c r="D316" s="16" t="s">
        <v>696</v>
      </c>
    </row>
    <row r="317" spans="4:4" ht="14.5">
      <c r="D317" s="16" t="s">
        <v>703</v>
      </c>
    </row>
    <row r="318" spans="4:4" ht="14.5">
      <c r="D318" s="18" t="s">
        <v>605</v>
      </c>
    </row>
    <row r="319" spans="4:4" ht="29">
      <c r="D319" s="19" t="s">
        <v>709</v>
      </c>
    </row>
    <row r="320" spans="4:4" ht="14.5">
      <c r="D320" s="21" t="s">
        <v>711</v>
      </c>
    </row>
    <row r="321" spans="4:4" ht="14.5">
      <c r="D321" s="22" t="s">
        <v>136</v>
      </c>
    </row>
    <row r="324" spans="4:4" ht="12.5">
      <c r="D324" s="116" t="s">
        <v>81</v>
      </c>
    </row>
    <row r="325" spans="4:4" ht="12.5">
      <c r="D325" s="117"/>
    </row>
    <row r="326" spans="4:4" ht="12.5">
      <c r="D326" s="117"/>
    </row>
    <row r="327" spans="4:4" ht="12.5">
      <c r="D327" s="118"/>
    </row>
    <row r="328" spans="4:4" ht="12.5">
      <c r="D328" s="119" t="s">
        <v>723</v>
      </c>
    </row>
    <row r="329" spans="4:4" ht="12.5">
      <c r="D329" s="120"/>
    </row>
    <row r="330" spans="4:4" ht="12.5">
      <c r="D330" s="121" t="s">
        <v>728</v>
      </c>
    </row>
    <row r="331" spans="4:4" ht="12.5">
      <c r="D331" s="120"/>
    </row>
    <row r="332" spans="4:4" ht="14.5">
      <c r="D332" s="16" t="s">
        <v>85</v>
      </c>
    </row>
    <row r="333" spans="4:4" ht="43.5">
      <c r="D333" s="17" t="s">
        <v>353</v>
      </c>
    </row>
    <row r="334" spans="4:4" ht="14.5">
      <c r="D334" s="16" t="s">
        <v>734</v>
      </c>
    </row>
    <row r="335" spans="4:4" ht="14.5">
      <c r="D335" s="16" t="s">
        <v>737</v>
      </c>
    </row>
    <row r="336" spans="4:4" ht="14.5">
      <c r="D336" s="16" t="s">
        <v>739</v>
      </c>
    </row>
    <row r="337" spans="4:4" ht="14.5">
      <c r="D337" s="16" t="s">
        <v>740</v>
      </c>
    </row>
    <row r="338" spans="4:4" ht="14.5">
      <c r="D338" s="18" t="s">
        <v>743</v>
      </c>
    </row>
    <row r="339" spans="4:4" ht="14.5">
      <c r="D339" s="19" t="s">
        <v>768</v>
      </c>
    </row>
    <row r="340" spans="4:4" ht="29">
      <c r="D340" s="28" t="s">
        <v>769</v>
      </c>
    </row>
    <row r="341" spans="4:4" ht="14.5">
      <c r="D341" s="22" t="s">
        <v>136</v>
      </c>
    </row>
    <row r="344" spans="4:4" ht="12.5">
      <c r="D344" s="116" t="s">
        <v>81</v>
      </c>
    </row>
    <row r="345" spans="4:4" ht="12.5">
      <c r="D345" s="117"/>
    </row>
    <row r="346" spans="4:4" ht="12.5">
      <c r="D346" s="117"/>
    </row>
    <row r="347" spans="4:4" ht="12.5">
      <c r="D347" s="118"/>
    </row>
    <row r="348" spans="4:4" ht="12.5">
      <c r="D348" s="119" t="s">
        <v>770</v>
      </c>
    </row>
    <row r="349" spans="4:4" ht="12.5">
      <c r="D349" s="120"/>
    </row>
    <row r="350" spans="4:4" ht="12.5">
      <c r="D350" s="121" t="s">
        <v>771</v>
      </c>
    </row>
    <row r="351" spans="4:4" ht="12.5">
      <c r="D351" s="120"/>
    </row>
    <row r="352" spans="4:4" ht="14.5">
      <c r="D352" s="16" t="s">
        <v>85</v>
      </c>
    </row>
    <row r="353" spans="4:4" ht="43.5">
      <c r="D353" s="17" t="s">
        <v>353</v>
      </c>
    </row>
    <row r="354" spans="4:4" ht="14.5">
      <c r="D354" s="16" t="s">
        <v>772</v>
      </c>
    </row>
    <row r="355" spans="4:4" ht="14.5">
      <c r="D355" s="16" t="s">
        <v>773</v>
      </c>
    </row>
    <row r="356" spans="4:4" ht="14.5">
      <c r="D356" s="16" t="s">
        <v>774</v>
      </c>
    </row>
    <row r="357" spans="4:4" ht="14.5">
      <c r="D357" s="16" t="s">
        <v>776</v>
      </c>
    </row>
    <row r="358" spans="4:4" ht="14.5">
      <c r="D358" s="18" t="s">
        <v>777</v>
      </c>
    </row>
    <row r="359" spans="4:4" ht="14.5">
      <c r="D359" s="19" t="s">
        <v>779</v>
      </c>
    </row>
    <row r="360" spans="4:4" ht="14.5">
      <c r="D360" s="21" t="s">
        <v>781</v>
      </c>
    </row>
    <row r="361" spans="4:4" ht="14.5">
      <c r="D361" s="22" t="s">
        <v>136</v>
      </c>
    </row>
    <row r="364" spans="4:4" ht="12.5">
      <c r="D364" s="116" t="s">
        <v>81</v>
      </c>
    </row>
    <row r="365" spans="4:4" ht="12.5">
      <c r="D365" s="117"/>
    </row>
    <row r="366" spans="4:4" ht="12.5">
      <c r="D366" s="117"/>
    </row>
    <row r="367" spans="4:4" ht="12.5">
      <c r="D367" s="118"/>
    </row>
    <row r="368" spans="4:4" ht="12.5">
      <c r="D368" s="119" t="s">
        <v>786</v>
      </c>
    </row>
    <row r="369" spans="4:4" ht="12.5">
      <c r="D369" s="120"/>
    </row>
    <row r="370" spans="4:4" ht="12.5">
      <c r="D370" s="121" t="s">
        <v>787</v>
      </c>
    </row>
    <row r="371" spans="4:4" ht="12.5">
      <c r="D371" s="120"/>
    </row>
    <row r="372" spans="4:4" ht="14.5">
      <c r="D372" s="16" t="s">
        <v>85</v>
      </c>
    </row>
    <row r="373" spans="4:4" ht="29">
      <c r="D373" s="17" t="s">
        <v>619</v>
      </c>
    </row>
    <row r="374" spans="4:4" ht="14.5">
      <c r="D374" s="16" t="s">
        <v>788</v>
      </c>
    </row>
    <row r="375" spans="4:4" ht="14.5">
      <c r="D375" s="16" t="s">
        <v>789</v>
      </c>
    </row>
    <row r="376" spans="4:4" ht="14.5">
      <c r="D376" s="16" t="s">
        <v>790</v>
      </c>
    </row>
    <row r="377" spans="4:4" ht="14.5">
      <c r="D377" s="16" t="s">
        <v>791</v>
      </c>
    </row>
    <row r="378" spans="4:4" ht="14.5">
      <c r="D378" s="18" t="s">
        <v>794</v>
      </c>
    </row>
    <row r="379" spans="4:4" ht="14.5">
      <c r="D379" s="19" t="s">
        <v>808</v>
      </c>
    </row>
    <row r="380" spans="4:4" ht="14.5">
      <c r="D380" s="22" t="s">
        <v>810</v>
      </c>
    </row>
    <row r="383" spans="4:4" ht="12.5">
      <c r="D383" s="116" t="s">
        <v>81</v>
      </c>
    </row>
    <row r="384" spans="4:4" ht="12.5">
      <c r="D384" s="117"/>
    </row>
    <row r="385" spans="4:4" ht="12.5">
      <c r="D385" s="117"/>
    </row>
    <row r="386" spans="4:4" ht="12.5">
      <c r="D386" s="118"/>
    </row>
    <row r="387" spans="4:4" ht="12.5">
      <c r="D387" s="119" t="s">
        <v>816</v>
      </c>
    </row>
    <row r="388" spans="4:4" ht="12.5">
      <c r="D388" s="120"/>
    </row>
    <row r="389" spans="4:4" ht="12.5">
      <c r="D389" s="121" t="s">
        <v>787</v>
      </c>
    </row>
    <row r="390" spans="4:4" ht="12.5">
      <c r="D390" s="120"/>
    </row>
    <row r="391" spans="4:4" ht="14.5">
      <c r="D391" s="16" t="s">
        <v>85</v>
      </c>
    </row>
    <row r="392" spans="4:4" ht="29">
      <c r="D392" s="17" t="s">
        <v>619</v>
      </c>
    </row>
    <row r="393" spans="4:4" ht="14.5">
      <c r="D393" s="16" t="s">
        <v>830</v>
      </c>
    </row>
    <row r="394" spans="4:4" ht="14.5">
      <c r="D394" s="16" t="s">
        <v>831</v>
      </c>
    </row>
    <row r="395" spans="4:4" ht="14.5">
      <c r="D395" s="16" t="s">
        <v>832</v>
      </c>
    </row>
    <row r="396" spans="4:4" ht="14.5">
      <c r="D396" s="16" t="s">
        <v>833</v>
      </c>
    </row>
    <row r="397" spans="4:4" ht="14.5">
      <c r="D397" s="18" t="s">
        <v>835</v>
      </c>
    </row>
    <row r="398" spans="4:4" ht="14.5">
      <c r="D398" s="19" t="s">
        <v>808</v>
      </c>
    </row>
    <row r="399" spans="4:4" ht="14.5">
      <c r="D399" s="21" t="s">
        <v>841</v>
      </c>
    </row>
    <row r="400" spans="4:4" ht="14.5">
      <c r="D400" s="22" t="s">
        <v>136</v>
      </c>
    </row>
    <row r="403" spans="4:4" ht="12.5">
      <c r="D403" s="116" t="s">
        <v>81</v>
      </c>
    </row>
    <row r="404" spans="4:4" ht="12.5">
      <c r="D404" s="117"/>
    </row>
    <row r="405" spans="4:4" ht="12.5">
      <c r="D405" s="117"/>
    </row>
    <row r="406" spans="4:4" ht="12.5">
      <c r="D406" s="118"/>
    </row>
    <row r="407" spans="4:4" ht="12.5">
      <c r="D407" s="119" t="s">
        <v>846</v>
      </c>
    </row>
    <row r="408" spans="4:4" ht="12.5">
      <c r="D408" s="120"/>
    </row>
    <row r="409" spans="4:4" ht="12.5">
      <c r="D409" s="121" t="s">
        <v>849</v>
      </c>
    </row>
    <row r="410" spans="4:4" ht="12.5">
      <c r="D410" s="120"/>
    </row>
    <row r="411" spans="4:4" ht="14.5">
      <c r="D411" s="16" t="s">
        <v>85</v>
      </c>
    </row>
    <row r="412" spans="4:4" ht="29">
      <c r="D412" s="17" t="s">
        <v>638</v>
      </c>
    </row>
    <row r="413" spans="4:4" ht="14.5">
      <c r="D413" s="16" t="s">
        <v>855</v>
      </c>
    </row>
    <row r="414" spans="4:4" ht="14.5">
      <c r="D414" s="16" t="s">
        <v>857</v>
      </c>
    </row>
    <row r="415" spans="4:4" ht="14.5">
      <c r="D415" s="16" t="s">
        <v>859</v>
      </c>
    </row>
    <row r="416" spans="4:4" ht="14.5">
      <c r="D416" s="16" t="s">
        <v>860</v>
      </c>
    </row>
    <row r="417" spans="4:4" ht="14.5">
      <c r="D417" s="18" t="s">
        <v>861</v>
      </c>
    </row>
    <row r="418" spans="4:4" ht="14.5">
      <c r="D418" s="19" t="s">
        <v>863</v>
      </c>
    </row>
    <row r="419" spans="4:4" ht="14.5">
      <c r="D419" s="21" t="s">
        <v>864</v>
      </c>
    </row>
    <row r="420" spans="4:4" ht="14.5">
      <c r="D420" s="22" t="s">
        <v>136</v>
      </c>
    </row>
    <row r="423" spans="4:4" ht="12.5">
      <c r="D423" s="116" t="s">
        <v>81</v>
      </c>
    </row>
    <row r="424" spans="4:4" ht="12.5">
      <c r="D424" s="117"/>
    </row>
    <row r="425" spans="4:4" ht="12.5">
      <c r="D425" s="117"/>
    </row>
    <row r="426" spans="4:4" ht="12.5">
      <c r="D426" s="118"/>
    </row>
    <row r="427" spans="4:4" ht="12.5">
      <c r="D427" s="119" t="s">
        <v>871</v>
      </c>
    </row>
    <row r="428" spans="4:4" ht="12.5">
      <c r="D428" s="120"/>
    </row>
    <row r="429" spans="4:4" ht="12.5">
      <c r="D429" s="121" t="s">
        <v>872</v>
      </c>
    </row>
    <row r="430" spans="4:4" ht="12.5">
      <c r="D430" s="120"/>
    </row>
    <row r="431" spans="4:4" ht="14.5">
      <c r="D431" s="16" t="s">
        <v>85</v>
      </c>
    </row>
    <row r="432" spans="4:4" ht="29">
      <c r="D432" s="17" t="s">
        <v>867</v>
      </c>
    </row>
    <row r="433" spans="4:4" ht="14.5">
      <c r="D433" s="16" t="s">
        <v>873</v>
      </c>
    </row>
    <row r="434" spans="4:4" ht="14.5">
      <c r="D434" s="16" t="s">
        <v>874</v>
      </c>
    </row>
    <row r="435" spans="4:4" ht="14.5">
      <c r="D435" s="16" t="s">
        <v>875</v>
      </c>
    </row>
    <row r="436" spans="4:4" ht="14.5">
      <c r="D436" s="16" t="s">
        <v>876</v>
      </c>
    </row>
    <row r="437" spans="4:4" ht="14.5">
      <c r="D437" s="18" t="s">
        <v>877</v>
      </c>
    </row>
    <row r="438" spans="4:4" ht="14.5">
      <c r="D438" s="19" t="s">
        <v>878</v>
      </c>
    </row>
    <row r="439" spans="4:4" ht="14.5">
      <c r="D439" s="21" t="s">
        <v>879</v>
      </c>
    </row>
    <row r="440" spans="4:4" ht="14.5">
      <c r="D440" s="22" t="s">
        <v>136</v>
      </c>
    </row>
    <row r="443" spans="4:4" ht="12.5">
      <c r="D443" s="116" t="s">
        <v>81</v>
      </c>
    </row>
    <row r="444" spans="4:4" ht="12.5">
      <c r="D444" s="117"/>
    </row>
    <row r="445" spans="4:4" ht="12.5">
      <c r="D445" s="117"/>
    </row>
    <row r="446" spans="4:4" ht="12.5">
      <c r="D446" s="118"/>
    </row>
    <row r="447" spans="4:4" ht="12.5">
      <c r="D447" s="119" t="s">
        <v>886</v>
      </c>
    </row>
    <row r="448" spans="4:4" ht="12.5">
      <c r="D448" s="120"/>
    </row>
    <row r="449" spans="4:4" ht="12.5">
      <c r="D449" s="121" t="s">
        <v>872</v>
      </c>
    </row>
    <row r="450" spans="4:4" ht="12.5">
      <c r="D450" s="120"/>
    </row>
    <row r="451" spans="4:4" ht="14.5">
      <c r="D451" s="16" t="s">
        <v>85</v>
      </c>
    </row>
    <row r="452" spans="4:4" ht="29">
      <c r="D452" s="17" t="s">
        <v>867</v>
      </c>
    </row>
    <row r="453" spans="4:4" ht="14.5">
      <c r="D453" s="16" t="s">
        <v>894</v>
      </c>
    </row>
    <row r="454" spans="4:4" ht="14.5">
      <c r="D454" s="16" t="s">
        <v>895</v>
      </c>
    </row>
    <row r="455" spans="4:4" ht="14.5">
      <c r="D455" s="16" t="s">
        <v>897</v>
      </c>
    </row>
    <row r="456" spans="4:4" ht="14.5">
      <c r="D456" s="16" t="s">
        <v>900</v>
      </c>
    </row>
    <row r="457" spans="4:4" ht="14.5">
      <c r="D457" s="18" t="s">
        <v>903</v>
      </c>
    </row>
    <row r="458" spans="4:4" ht="14.5">
      <c r="D458" s="19" t="s">
        <v>878</v>
      </c>
    </row>
    <row r="459" spans="4:4" ht="14.5">
      <c r="D459" s="21" t="s">
        <v>879</v>
      </c>
    </row>
    <row r="460" spans="4:4" ht="14.5">
      <c r="D460" s="22" t="s">
        <v>136</v>
      </c>
    </row>
    <row r="463" spans="4:4" ht="12.5">
      <c r="D463" s="116" t="s">
        <v>81</v>
      </c>
    </row>
    <row r="464" spans="4:4" ht="12.5">
      <c r="D464" s="117"/>
    </row>
    <row r="465" spans="4:4" ht="12.5">
      <c r="D465" s="117"/>
    </row>
    <row r="466" spans="4:4" ht="12.5">
      <c r="D466" s="118"/>
    </row>
    <row r="467" spans="4:4" ht="12.5">
      <c r="D467" s="119" t="s">
        <v>910</v>
      </c>
    </row>
    <row r="468" spans="4:4" ht="12.5">
      <c r="D468" s="120"/>
    </row>
    <row r="469" spans="4:4" ht="12.5">
      <c r="D469" s="121" t="s">
        <v>911</v>
      </c>
    </row>
    <row r="470" spans="4:4" ht="12.5">
      <c r="D470" s="120"/>
    </row>
    <row r="471" spans="4:4" ht="14.5">
      <c r="D471" s="16" t="s">
        <v>85</v>
      </c>
    </row>
    <row r="472" spans="4:4" ht="43.5">
      <c r="D472" s="17" t="s">
        <v>920</v>
      </c>
    </row>
    <row r="473" spans="4:4" ht="14.5">
      <c r="D473" s="16" t="s">
        <v>923</v>
      </c>
    </row>
    <row r="474" spans="4:4" ht="14.5">
      <c r="D474" s="16" t="s">
        <v>926</v>
      </c>
    </row>
    <row r="475" spans="4:4" ht="14.5">
      <c r="D475" s="16" t="s">
        <v>929</v>
      </c>
    </row>
    <row r="476" spans="4:4" ht="14.5">
      <c r="D476" s="16" t="s">
        <v>930</v>
      </c>
    </row>
    <row r="477" spans="4:4" ht="14.5">
      <c r="D477" s="18" t="s">
        <v>931</v>
      </c>
    </row>
    <row r="478" spans="4:4" ht="14.5">
      <c r="D478" s="19" t="s">
        <v>933</v>
      </c>
    </row>
    <row r="479" spans="4:4" ht="14.5">
      <c r="D479" s="21" t="s">
        <v>935</v>
      </c>
    </row>
    <row r="480" spans="4:4" ht="14.5">
      <c r="D480" s="22" t="s">
        <v>136</v>
      </c>
    </row>
    <row r="483" spans="4:4" ht="12.5">
      <c r="D483" s="116" t="s">
        <v>81</v>
      </c>
    </row>
    <row r="484" spans="4:4" ht="12.5">
      <c r="D484" s="117"/>
    </row>
    <row r="485" spans="4:4" ht="12.5">
      <c r="D485" s="117"/>
    </row>
    <row r="486" spans="4:4" ht="12.5">
      <c r="D486" s="118"/>
    </row>
    <row r="487" spans="4:4" ht="12.5">
      <c r="D487" s="119" t="s">
        <v>946</v>
      </c>
    </row>
    <row r="488" spans="4:4" ht="12.5">
      <c r="D488" s="120"/>
    </row>
    <row r="489" spans="4:4" ht="12.5">
      <c r="D489" s="121" t="s">
        <v>947</v>
      </c>
    </row>
    <row r="490" spans="4:4" ht="12.5">
      <c r="D490" s="120"/>
    </row>
    <row r="491" spans="4:4" ht="14.5">
      <c r="D491" s="16" t="s">
        <v>85</v>
      </c>
    </row>
    <row r="492" spans="4:4" ht="43.5">
      <c r="D492" s="17" t="s">
        <v>950</v>
      </c>
    </row>
    <row r="493" spans="4:4" ht="14.5">
      <c r="D493" s="16" t="s">
        <v>952</v>
      </c>
    </row>
    <row r="494" spans="4:4" ht="14.5">
      <c r="D494" s="16" t="s">
        <v>954</v>
      </c>
    </row>
    <row r="495" spans="4:4" ht="14.5">
      <c r="D495" s="16" t="s">
        <v>957</v>
      </c>
    </row>
    <row r="496" spans="4:4" ht="14.5">
      <c r="D496" s="16" t="s">
        <v>958</v>
      </c>
    </row>
    <row r="497" spans="4:4" ht="14.5">
      <c r="D497" s="18" t="s">
        <v>931</v>
      </c>
    </row>
    <row r="498" spans="4:4" ht="14.5">
      <c r="D498" s="19" t="s">
        <v>959</v>
      </c>
    </row>
    <row r="499" spans="4:4" ht="14.5">
      <c r="D499" s="21" t="s">
        <v>960</v>
      </c>
    </row>
    <row r="500" spans="4:4" ht="14.5">
      <c r="D500" s="22" t="s">
        <v>136</v>
      </c>
    </row>
    <row r="503" spans="4:4" ht="12.5">
      <c r="D503" s="116" t="s">
        <v>81</v>
      </c>
    </row>
    <row r="504" spans="4:4" ht="12.5">
      <c r="D504" s="117"/>
    </row>
    <row r="505" spans="4:4" ht="12.5">
      <c r="D505" s="117"/>
    </row>
    <row r="506" spans="4:4" ht="12.5">
      <c r="D506" s="118"/>
    </row>
    <row r="507" spans="4:4" ht="12.5">
      <c r="D507" s="119" t="s">
        <v>968</v>
      </c>
    </row>
    <row r="508" spans="4:4" ht="12.5">
      <c r="D508" s="120"/>
    </row>
    <row r="509" spans="4:4" ht="12.5">
      <c r="D509" s="121" t="s">
        <v>969</v>
      </c>
    </row>
    <row r="510" spans="4:4" ht="12.5">
      <c r="D510" s="120"/>
    </row>
    <row r="511" spans="4:4" ht="14.5">
      <c r="D511" s="16" t="s">
        <v>85</v>
      </c>
    </row>
    <row r="512" spans="4:4" ht="43.5">
      <c r="D512" s="17" t="s">
        <v>971</v>
      </c>
    </row>
    <row r="513" spans="4:4" ht="14.5">
      <c r="D513" s="16" t="s">
        <v>974</v>
      </c>
    </row>
    <row r="514" spans="4:4" ht="14.5">
      <c r="D514" s="16" t="s">
        <v>976</v>
      </c>
    </row>
    <row r="515" spans="4:4" ht="14.5">
      <c r="D515" s="16" t="s">
        <v>979</v>
      </c>
    </row>
    <row r="516" spans="4:4" ht="14.5">
      <c r="D516" s="16" t="s">
        <v>981</v>
      </c>
    </row>
    <row r="517" spans="4:4" ht="14.5">
      <c r="D517" s="18" t="s">
        <v>931</v>
      </c>
    </row>
    <row r="518" spans="4:4" ht="14.5">
      <c r="D518" s="19" t="s">
        <v>982</v>
      </c>
    </row>
    <row r="519" spans="4:4" ht="14.5">
      <c r="D519" s="21" t="s">
        <v>983</v>
      </c>
    </row>
    <row r="520" spans="4:4" ht="14.5">
      <c r="D520" s="22" t="s">
        <v>136</v>
      </c>
    </row>
  </sheetData>
  <mergeCells count="78">
    <mergeCell ref="D328:D329"/>
    <mergeCell ref="D330:D331"/>
    <mergeCell ref="D344:D347"/>
    <mergeCell ref="D348:D349"/>
    <mergeCell ref="D350:D351"/>
    <mergeCell ref="D364:D367"/>
    <mergeCell ref="D368:D369"/>
    <mergeCell ref="D370:D371"/>
    <mergeCell ref="D383:D386"/>
    <mergeCell ref="D387:D388"/>
    <mergeCell ref="D389:D390"/>
    <mergeCell ref="D403:D406"/>
    <mergeCell ref="D407:D408"/>
    <mergeCell ref="D409:D410"/>
    <mergeCell ref="D467:D468"/>
    <mergeCell ref="D507:D508"/>
    <mergeCell ref="D509:D510"/>
    <mergeCell ref="D423:D426"/>
    <mergeCell ref="D427:D428"/>
    <mergeCell ref="D429:D430"/>
    <mergeCell ref="D443:D446"/>
    <mergeCell ref="D447:D448"/>
    <mergeCell ref="D449:D450"/>
    <mergeCell ref="D463:D466"/>
    <mergeCell ref="D469:D470"/>
    <mergeCell ref="D483:D486"/>
    <mergeCell ref="D487:D488"/>
    <mergeCell ref="D489:D490"/>
    <mergeCell ref="D503:D506"/>
    <mergeCell ref="D2:D5"/>
    <mergeCell ref="D6:D7"/>
    <mergeCell ref="D8:D9"/>
    <mergeCell ref="D22:D25"/>
    <mergeCell ref="D26:D27"/>
    <mergeCell ref="D28:D29"/>
    <mergeCell ref="D42:D45"/>
    <mergeCell ref="D46:D47"/>
    <mergeCell ref="D48:D49"/>
    <mergeCell ref="D62:D65"/>
    <mergeCell ref="D66:D67"/>
    <mergeCell ref="D68:D69"/>
    <mergeCell ref="D82:D85"/>
    <mergeCell ref="D86:D87"/>
    <mergeCell ref="D88:D89"/>
    <mergeCell ref="D102:D105"/>
    <mergeCell ref="D106:D107"/>
    <mergeCell ref="D108:D109"/>
    <mergeCell ref="D122:D125"/>
    <mergeCell ref="D126:D127"/>
    <mergeCell ref="D128:D129"/>
    <mergeCell ref="D143:D146"/>
    <mergeCell ref="D147:D148"/>
    <mergeCell ref="D149:D150"/>
    <mergeCell ref="D163:D166"/>
    <mergeCell ref="D167:D168"/>
    <mergeCell ref="D169:D170"/>
    <mergeCell ref="D183:D186"/>
    <mergeCell ref="D187:D188"/>
    <mergeCell ref="D189:D190"/>
    <mergeCell ref="D203:D206"/>
    <mergeCell ref="D207:D208"/>
    <mergeCell ref="D209:D210"/>
    <mergeCell ref="D224:D227"/>
    <mergeCell ref="D228:D229"/>
    <mergeCell ref="D230:D231"/>
    <mergeCell ref="D244:D247"/>
    <mergeCell ref="D248:D249"/>
    <mergeCell ref="D250:D251"/>
    <mergeCell ref="D264:D267"/>
    <mergeCell ref="D304:D307"/>
    <mergeCell ref="D308:D309"/>
    <mergeCell ref="D310:D311"/>
    <mergeCell ref="D324:D327"/>
    <mergeCell ref="D268:D269"/>
    <mergeCell ref="D270:D271"/>
    <mergeCell ref="D284:D287"/>
    <mergeCell ref="D288:D289"/>
    <mergeCell ref="D290:D291"/>
  </mergeCells>
  <hyperlinks>
    <hyperlink ref="D16" r:id="rId1" xr:uid="{00000000-0004-0000-0400-000000000000}"/>
    <hyperlink ref="D36" r:id="rId2" xr:uid="{00000000-0004-0000-0400-000001000000}"/>
    <hyperlink ref="D56" r:id="rId3" xr:uid="{00000000-0004-0000-0400-000002000000}"/>
    <hyperlink ref="D76" r:id="rId4" xr:uid="{00000000-0004-0000-0400-000003000000}"/>
    <hyperlink ref="D96" r:id="rId5" xr:uid="{00000000-0004-0000-0400-000004000000}"/>
    <hyperlink ref="D116" r:id="rId6" xr:uid="{00000000-0004-0000-0400-000005000000}"/>
    <hyperlink ref="D137" r:id="rId7" xr:uid="{00000000-0004-0000-0400-000006000000}"/>
    <hyperlink ref="D157" r:id="rId8" xr:uid="{00000000-0004-0000-0400-000007000000}"/>
    <hyperlink ref="D177" r:id="rId9" xr:uid="{00000000-0004-0000-0400-000008000000}"/>
    <hyperlink ref="D197" r:id="rId10" xr:uid="{00000000-0004-0000-0400-000009000000}"/>
    <hyperlink ref="D218" r:id="rId11" xr:uid="{00000000-0004-0000-0400-00000A000000}"/>
    <hyperlink ref="D238" r:id="rId12" xr:uid="{00000000-0004-0000-0400-00000B000000}"/>
    <hyperlink ref="D258" r:id="rId13" xr:uid="{00000000-0004-0000-0400-00000C000000}"/>
    <hyperlink ref="D298" r:id="rId14" xr:uid="{00000000-0004-0000-0400-00000D000000}"/>
    <hyperlink ref="D338" r:id="rId15" xr:uid="{00000000-0004-0000-0400-00000E000000}"/>
    <hyperlink ref="D358" r:id="rId16" xr:uid="{00000000-0004-0000-0400-00000F000000}"/>
    <hyperlink ref="D378" r:id="rId17" xr:uid="{00000000-0004-0000-0400-000010000000}"/>
    <hyperlink ref="D397" r:id="rId18" xr:uid="{00000000-0004-0000-0400-000011000000}"/>
    <hyperlink ref="D417" r:id="rId19" xr:uid="{00000000-0004-0000-0400-000012000000}"/>
    <hyperlink ref="D437" r:id="rId20" xr:uid="{00000000-0004-0000-0400-000013000000}"/>
    <hyperlink ref="D457" r:id="rId21" xr:uid="{00000000-0004-0000-0400-000014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C2:G12"/>
  <sheetViews>
    <sheetView workbookViewId="0"/>
  </sheetViews>
  <sheetFormatPr defaultColWidth="12.6328125" defaultRowHeight="15.75" customHeight="1"/>
  <cols>
    <col min="3" max="3" width="24.453125" customWidth="1"/>
    <col min="4" max="4" width="27.36328125" customWidth="1"/>
    <col min="7" max="7" width="10.90625" customWidth="1"/>
  </cols>
  <sheetData>
    <row r="2" spans="3:7" ht="15.75" customHeight="1">
      <c r="C2" s="130" t="s">
        <v>101</v>
      </c>
      <c r="D2" s="124"/>
      <c r="E2" s="124"/>
      <c r="F2" s="124"/>
      <c r="G2" s="131"/>
    </row>
    <row r="3" spans="3:7" ht="15.75" customHeight="1">
      <c r="C3" s="23" t="s">
        <v>107</v>
      </c>
      <c r="D3" s="132" t="s">
        <v>109</v>
      </c>
      <c r="E3" s="133"/>
      <c r="F3" s="133"/>
      <c r="G3" s="134"/>
    </row>
    <row r="4" spans="3:7" ht="15.75" customHeight="1">
      <c r="C4" s="23" t="s">
        <v>125</v>
      </c>
      <c r="D4" s="135" t="s">
        <v>69</v>
      </c>
      <c r="E4" s="133"/>
      <c r="F4" s="133"/>
      <c r="G4" s="134"/>
    </row>
    <row r="5" spans="3:7" ht="15.75" customHeight="1">
      <c r="C5" s="23" t="s">
        <v>127</v>
      </c>
      <c r="D5" s="135" t="s">
        <v>75</v>
      </c>
      <c r="E5" s="133"/>
      <c r="F5" s="133"/>
      <c r="G5" s="134"/>
    </row>
    <row r="6" spans="3:7" ht="15.75" customHeight="1">
      <c r="C6" s="136" t="s">
        <v>130</v>
      </c>
      <c r="D6" s="137"/>
      <c r="E6" s="137"/>
      <c r="F6" s="137"/>
      <c r="G6" s="138"/>
    </row>
    <row r="7" spans="3:7" ht="15.75" customHeight="1">
      <c r="C7" s="139"/>
      <c r="D7" s="140"/>
      <c r="E7" s="140"/>
      <c r="F7" s="140"/>
      <c r="G7" s="141"/>
    </row>
    <row r="8" spans="3:7" ht="13.5">
      <c r="C8" s="9" t="s">
        <v>67</v>
      </c>
      <c r="D8" s="123">
        <f>'Othoba Test Case'!L2</f>
        <v>171</v>
      </c>
      <c r="E8" s="124"/>
      <c r="F8" s="124"/>
      <c r="G8" s="125"/>
    </row>
    <row r="9" spans="3:7" ht="13.5">
      <c r="C9" s="10" t="s">
        <v>72</v>
      </c>
      <c r="D9" s="123">
        <f>'Othoba Test Case'!L3</f>
        <v>29</v>
      </c>
      <c r="E9" s="124"/>
      <c r="F9" s="124"/>
      <c r="G9" s="125"/>
    </row>
    <row r="10" spans="3:7" ht="13.5">
      <c r="C10" s="11" t="s">
        <v>78</v>
      </c>
      <c r="D10" s="123">
        <f>COUNTIF(C13:C39, "Not Executed")</f>
        <v>0</v>
      </c>
      <c r="E10" s="124"/>
      <c r="F10" s="124"/>
      <c r="G10" s="125"/>
    </row>
    <row r="11" spans="3:7" ht="13.5">
      <c r="C11" s="12" t="s">
        <v>80</v>
      </c>
      <c r="D11" s="126">
        <f>COUNTIF(C13:C39, "Out of Scope")</f>
        <v>0</v>
      </c>
      <c r="E11" s="124"/>
      <c r="F11" s="124"/>
      <c r="G11" s="125"/>
    </row>
    <row r="12" spans="3:7" ht="13.5">
      <c r="C12" s="15" t="s">
        <v>83</v>
      </c>
      <c r="D12" s="127">
        <f>'Othoba Test Case'!L6</f>
        <v>200</v>
      </c>
      <c r="E12" s="128"/>
      <c r="F12" s="128"/>
      <c r="G12" s="129"/>
    </row>
  </sheetData>
  <mergeCells count="10">
    <mergeCell ref="D10:G10"/>
    <mergeCell ref="D11:G11"/>
    <mergeCell ref="D12:G12"/>
    <mergeCell ref="C2:G2"/>
    <mergeCell ref="D3:G3"/>
    <mergeCell ref="D4:G4"/>
    <mergeCell ref="D5:G5"/>
    <mergeCell ref="C6:G7"/>
    <mergeCell ref="D8:G8"/>
    <mergeCell ref="D9:G9"/>
  </mergeCells>
  <hyperlinks>
    <hyperlink ref="D3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14"/>
  <sheetViews>
    <sheetView workbookViewId="0"/>
  </sheetViews>
  <sheetFormatPr defaultColWidth="12.6328125" defaultRowHeight="15.75" customHeight="1"/>
  <cols>
    <col min="1" max="1" width="16.26953125" customWidth="1"/>
    <col min="2" max="2" width="33.7265625" customWidth="1"/>
    <col min="3" max="3" width="64.08984375" customWidth="1"/>
    <col min="4" max="4" width="21.453125" customWidth="1"/>
    <col min="5" max="5" width="16" customWidth="1"/>
  </cols>
  <sheetData>
    <row r="1" spans="1:24" ht="15.75" customHeight="1">
      <c r="A1" s="29" t="s">
        <v>362</v>
      </c>
      <c r="B1" s="30" t="s">
        <v>373</v>
      </c>
      <c r="C1" s="30" t="s">
        <v>378</v>
      </c>
      <c r="D1" s="30" t="s">
        <v>379</v>
      </c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15.75" customHeight="1">
      <c r="A2" s="34">
        <v>1</v>
      </c>
      <c r="B2" s="35" t="s">
        <v>392</v>
      </c>
      <c r="C2" s="36" t="s">
        <v>395</v>
      </c>
      <c r="D2" s="34" t="s">
        <v>396</v>
      </c>
      <c r="E2" s="37"/>
    </row>
    <row r="3" spans="1:24" ht="15.75" customHeight="1">
      <c r="A3" s="34">
        <v>2</v>
      </c>
      <c r="B3" s="35" t="s">
        <v>402</v>
      </c>
      <c r="C3" s="36" t="s">
        <v>404</v>
      </c>
      <c r="D3" s="34" t="s">
        <v>405</v>
      </c>
      <c r="E3" s="37"/>
    </row>
    <row r="4" spans="1:24" ht="15.75" customHeight="1">
      <c r="A4" s="34">
        <v>3</v>
      </c>
      <c r="B4" s="35" t="s">
        <v>406</v>
      </c>
      <c r="C4" s="36" t="s">
        <v>408</v>
      </c>
      <c r="D4" s="34" t="s">
        <v>409</v>
      </c>
      <c r="E4" s="37"/>
    </row>
    <row r="5" spans="1:24" ht="15.75" customHeight="1">
      <c r="A5" s="34">
        <v>4</v>
      </c>
      <c r="B5" s="35" t="s">
        <v>413</v>
      </c>
      <c r="C5" s="36" t="s">
        <v>414</v>
      </c>
      <c r="D5" s="34" t="s">
        <v>416</v>
      </c>
      <c r="E5" s="37"/>
    </row>
    <row r="6" spans="1:24" ht="15.75" customHeight="1">
      <c r="A6" s="34">
        <v>5</v>
      </c>
      <c r="B6" s="35" t="s">
        <v>421</v>
      </c>
      <c r="C6" s="36" t="s">
        <v>422</v>
      </c>
      <c r="D6" s="34" t="s">
        <v>405</v>
      </c>
      <c r="E6" s="37"/>
    </row>
    <row r="7" spans="1:24" ht="15.75" customHeight="1">
      <c r="A7" s="34">
        <v>6</v>
      </c>
      <c r="B7" s="35" t="s">
        <v>426</v>
      </c>
      <c r="C7" s="36" t="s">
        <v>428</v>
      </c>
      <c r="D7" s="34" t="s">
        <v>430</v>
      </c>
      <c r="E7" s="37"/>
    </row>
    <row r="8" spans="1:24" ht="15.75" customHeight="1">
      <c r="A8" s="34">
        <v>7</v>
      </c>
      <c r="B8" s="35" t="s">
        <v>433</v>
      </c>
      <c r="C8" s="36" t="s">
        <v>434</v>
      </c>
      <c r="D8" s="34" t="s">
        <v>430</v>
      </c>
      <c r="E8" s="37"/>
    </row>
    <row r="9" spans="1:24" ht="15.75" customHeight="1">
      <c r="A9" s="34">
        <v>8</v>
      </c>
      <c r="B9" s="35" t="s">
        <v>436</v>
      </c>
      <c r="C9" s="36" t="s">
        <v>438</v>
      </c>
      <c r="D9" s="34" t="s">
        <v>430</v>
      </c>
      <c r="E9" s="37"/>
    </row>
    <row r="10" spans="1:24" ht="15.75" customHeight="1">
      <c r="A10" s="34">
        <v>9</v>
      </c>
      <c r="B10" s="35" t="s">
        <v>443</v>
      </c>
      <c r="C10" s="36" t="s">
        <v>446</v>
      </c>
      <c r="D10" s="34" t="s">
        <v>430</v>
      </c>
      <c r="E10" s="37"/>
    </row>
    <row r="11" spans="1:24" ht="15.75" customHeight="1">
      <c r="A11" s="34">
        <v>10</v>
      </c>
      <c r="B11" s="35" t="s">
        <v>449</v>
      </c>
      <c r="C11" s="36" t="s">
        <v>452</v>
      </c>
      <c r="D11" s="34" t="s">
        <v>430</v>
      </c>
      <c r="E11" s="37"/>
    </row>
    <row r="12" spans="1:24" ht="15.75" customHeight="1">
      <c r="A12" s="34">
        <v>11</v>
      </c>
      <c r="B12" s="35" t="s">
        <v>456</v>
      </c>
      <c r="C12" s="36" t="s">
        <v>458</v>
      </c>
      <c r="D12" s="34" t="s">
        <v>430</v>
      </c>
      <c r="E12" s="37"/>
    </row>
    <row r="13" spans="1:24" ht="15.75" customHeight="1">
      <c r="A13" s="38"/>
      <c r="B13" s="38"/>
      <c r="C13" s="38"/>
      <c r="D13" s="38"/>
      <c r="E13" s="38"/>
    </row>
    <row r="14" spans="1:24" ht="15.75" customHeight="1">
      <c r="A14" s="38"/>
      <c r="B14" s="38"/>
      <c r="C14" s="38"/>
      <c r="D14" s="38"/>
      <c r="E14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Plan</vt:lpstr>
      <vt:lpstr>Mind Maps</vt:lpstr>
      <vt:lpstr> Test Scenarios</vt:lpstr>
      <vt:lpstr>Othoba Test Case</vt:lpstr>
      <vt:lpstr>Bug Report</vt:lpstr>
      <vt:lpstr>Test Case Summery Report</vt:lpstr>
      <vt:lpstr>Test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meem mahmuda</cp:lastModifiedBy>
  <dcterms:modified xsi:type="dcterms:W3CDTF">2026-09-14T16:41:10Z</dcterms:modified>
</cp:coreProperties>
</file>